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4fdad17df4abc441/Desktop/Dottorato/Terzo Anno/GFDQ/3.  Revisione/Fogli di calcolo/data/"/>
    </mc:Choice>
  </mc:AlternateContent>
  <xr:revisionPtr revIDLastSave="516" documentId="13_ncr:1_{BD53C91E-1450-460A-BD86-1FE3BBE207D7}" xr6:coauthVersionLast="47" xr6:coauthVersionMax="47" xr10:uidLastSave="{A98B43BA-7700-42E6-9A72-DC90BB9A2DCC}"/>
  <bookViews>
    <workbookView xWindow="-28920" yWindow="-795" windowWidth="29040" windowHeight="15720" activeTab="1" xr2:uid="{00000000-000D-0000-FFFF-FFFF00000000}"/>
  </bookViews>
  <sheets>
    <sheet name="Original data" sheetId="1" r:id="rId1"/>
    <sheet name="Harmonised data" sheetId="2" r:id="rId2"/>
  </sheets>
  <definedNames>
    <definedName name="_xlnm._FilterDatabase" localSheetId="1" hidden="1">'Harmonised data'!$B$1:$I$637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AP3" i="2"/>
  <c r="S3" i="2"/>
  <c r="AP8" i="2"/>
  <c r="AP7" i="2"/>
  <c r="AP6" i="2"/>
  <c r="AP5" i="2"/>
  <c r="AP4" i="2"/>
  <c r="E560" i="2"/>
  <c r="E499" i="2"/>
  <c r="E491" i="2"/>
  <c r="E293" i="2"/>
  <c r="E324" i="2"/>
  <c r="E346" i="2"/>
  <c r="E526" i="2"/>
  <c r="E595" i="2"/>
  <c r="E492" i="2"/>
  <c r="E336" i="2"/>
  <c r="E441" i="2"/>
  <c r="E537" i="2"/>
  <c r="E417" i="2"/>
  <c r="E562" i="2"/>
  <c r="E542" i="2"/>
  <c r="E470" i="2"/>
  <c r="E439" i="2"/>
  <c r="E500" i="2"/>
  <c r="E389" i="2"/>
  <c r="E464" i="2"/>
  <c r="E290" i="2"/>
  <c r="E528" i="2"/>
  <c r="E549" i="2"/>
  <c r="E420" i="2"/>
  <c r="E375" i="2"/>
  <c r="E501" i="2"/>
  <c r="E563" i="2"/>
  <c r="E564" i="2"/>
  <c r="E596" i="2"/>
  <c r="E419" i="2"/>
  <c r="E614" i="2"/>
  <c r="E421" i="2"/>
  <c r="E474" i="2"/>
  <c r="E565" i="2"/>
  <c r="E390" i="2"/>
  <c r="E402" i="2"/>
  <c r="E503" i="2"/>
  <c r="E355" i="2"/>
  <c r="E410" i="2"/>
  <c r="E597" i="2"/>
  <c r="E598" i="2"/>
  <c r="E366" i="2"/>
  <c r="E314" i="2"/>
  <c r="E354" i="2"/>
  <c r="E253" i="2"/>
  <c r="E315" i="2"/>
  <c r="E326" i="2"/>
  <c r="E538" i="2"/>
  <c r="E458" i="2"/>
  <c r="E539" i="2"/>
  <c r="E567" i="2"/>
  <c r="E393" i="2"/>
  <c r="E415" i="2"/>
  <c r="E519" i="2"/>
  <c r="E387" i="2"/>
  <c r="E302" i="2"/>
  <c r="E352" i="2"/>
  <c r="E378" i="2"/>
  <c r="E416" i="2"/>
  <c r="E337" i="2"/>
  <c r="E329" i="2"/>
  <c r="E303" i="2"/>
  <c r="E312" i="2"/>
  <c r="E374" i="2"/>
  <c r="E351" i="2"/>
  <c r="E551" i="2"/>
  <c r="E459" i="2"/>
  <c r="E362" i="2"/>
  <c r="E400" i="2"/>
  <c r="E372" i="2"/>
  <c r="E493" i="2"/>
  <c r="E601" i="2"/>
  <c r="E357" i="2"/>
  <c r="E391" i="2"/>
  <c r="E363" i="2"/>
  <c r="E496" i="2"/>
  <c r="E483" i="2"/>
  <c r="E506" i="2"/>
  <c r="E134" i="2"/>
  <c r="E625" i="2"/>
  <c r="E401" i="2"/>
  <c r="E313" i="2"/>
  <c r="E485" i="2"/>
  <c r="E338" i="2"/>
  <c r="E392" i="2"/>
  <c r="E486" i="2"/>
  <c r="E515" i="2"/>
  <c r="E473" i="2"/>
  <c r="E342" i="2"/>
  <c r="E437" i="2"/>
  <c r="E448" i="2"/>
  <c r="E497" i="2"/>
  <c r="E445" i="2"/>
  <c r="E334" i="2"/>
  <c r="E592" i="2"/>
  <c r="E382" i="2"/>
  <c r="E446" i="2"/>
  <c r="E261" i="2"/>
  <c r="E536" i="2"/>
  <c r="E164" i="2"/>
  <c r="E463" i="2"/>
  <c r="E167" i="2"/>
  <c r="E206" i="2"/>
  <c r="E558" i="2"/>
  <c r="E432" i="2"/>
  <c r="E383" i="2"/>
  <c r="E23" i="2"/>
  <c r="E20" i="2"/>
  <c r="E19" i="2"/>
  <c r="E340" i="2"/>
  <c r="E353" i="2"/>
  <c r="E465" i="2"/>
  <c r="E347" i="2"/>
  <c r="E88" i="2"/>
  <c r="E479" i="2"/>
  <c r="E92" i="2"/>
  <c r="E93" i="2"/>
  <c r="E94" i="2"/>
  <c r="E97" i="2"/>
  <c r="E99" i="2"/>
  <c r="E100" i="2"/>
  <c r="E101" i="2"/>
  <c r="E103" i="2"/>
  <c r="E105" i="2"/>
  <c r="E106" i="2"/>
  <c r="E107" i="2"/>
  <c r="E108" i="2"/>
  <c r="E109" i="2"/>
  <c r="E112" i="2"/>
  <c r="E113" i="2"/>
  <c r="E115" i="2"/>
  <c r="E121" i="2"/>
  <c r="E122" i="2"/>
  <c r="E123" i="2"/>
  <c r="E127" i="2"/>
  <c r="E130" i="2"/>
  <c r="E129" i="2"/>
  <c r="E131" i="2"/>
  <c r="E556" i="2"/>
  <c r="E317" i="2"/>
  <c r="E604" i="2"/>
  <c r="E231" i="2"/>
  <c r="E243" i="2"/>
  <c r="E335" i="2"/>
  <c r="E318" i="2"/>
  <c r="E373" i="2"/>
  <c r="E555" i="2"/>
  <c r="E575" i="2"/>
  <c r="E275" i="2"/>
  <c r="E286" i="2"/>
  <c r="E114" i="2"/>
  <c r="E116" i="2"/>
  <c r="E170" i="2"/>
  <c r="E259" i="2"/>
  <c r="E388" i="2"/>
  <c r="E148" i="2"/>
  <c r="E143" i="2"/>
  <c r="E149" i="2"/>
  <c r="E141" i="2"/>
  <c r="E3" i="2"/>
  <c r="E566" i="2"/>
  <c r="E207" i="2"/>
  <c r="E145" i="2"/>
  <c r="E136" i="2"/>
  <c r="E144" i="2"/>
  <c r="E158" i="2"/>
  <c r="E159" i="2"/>
  <c r="E146" i="2"/>
  <c r="E147" i="2"/>
  <c r="E189" i="2"/>
  <c r="E138" i="2"/>
  <c r="E118" i="2"/>
  <c r="E160" i="2"/>
  <c r="E161" i="2"/>
  <c r="E152" i="2"/>
  <c r="E151" i="2"/>
  <c r="E153" i="2"/>
  <c r="E156" i="2"/>
  <c r="E157" i="2"/>
  <c r="E2" i="2"/>
  <c r="E140" i="2"/>
  <c r="E142" i="2"/>
  <c r="E120" i="2"/>
  <c r="E119" i="2"/>
  <c r="E195" i="2"/>
  <c r="E424" i="2"/>
  <c r="E221" i="2"/>
  <c r="E208" i="2"/>
  <c r="E433" i="2"/>
  <c r="E316" i="2"/>
  <c r="E202" i="2"/>
  <c r="E241" i="2"/>
  <c r="E242" i="2"/>
  <c r="E211" i="2"/>
  <c r="E239" i="2"/>
  <c r="E6" i="2"/>
  <c r="E7" i="2"/>
  <c r="E218" i="2"/>
  <c r="E180" i="2"/>
  <c r="E288" i="2"/>
  <c r="E222" i="2"/>
  <c r="E284" i="2"/>
  <c r="E213" i="2"/>
  <c r="E181" i="2"/>
  <c r="E265" i="2"/>
  <c r="E205" i="2"/>
  <c r="E188" i="2"/>
  <c r="E183" i="2"/>
  <c r="E225" i="2"/>
  <c r="E228" i="2"/>
  <c r="E296" i="2"/>
  <c r="E210" i="2"/>
  <c r="E235" i="2"/>
  <c r="E191" i="2"/>
  <c r="E204" i="2"/>
  <c r="E12" i="2"/>
  <c r="E13" i="2"/>
  <c r="E14" i="2"/>
  <c r="E17" i="2"/>
  <c r="E15" i="2"/>
  <c r="E16" i="2"/>
  <c r="E35" i="2"/>
  <c r="E36" i="2"/>
  <c r="E291" i="2"/>
  <c r="E198" i="2"/>
  <c r="E295" i="2"/>
  <c r="E197" i="2"/>
  <c r="E248" i="2"/>
  <c r="E80" i="2"/>
  <c r="E179" i="2"/>
  <c r="E307" i="2"/>
  <c r="E182" i="2"/>
  <c r="E423" i="2"/>
  <c r="E133" i="2"/>
  <c r="E229" i="2"/>
  <c r="E223" i="2"/>
  <c r="E442" i="2"/>
  <c r="E187" i="2"/>
  <c r="E193" i="2"/>
  <c r="E217" i="2"/>
  <c r="E233" i="2"/>
  <c r="E184" i="2"/>
  <c r="E172" i="2"/>
  <c r="E285" i="2"/>
  <c r="E214" i="2"/>
  <c r="E240" i="2"/>
  <c r="E237" i="2"/>
  <c r="E174" i="2"/>
  <c r="E234" i="2"/>
  <c r="E212" i="2"/>
  <c r="E258" i="2"/>
  <c r="E186" i="2"/>
  <c r="E175" i="2"/>
  <c r="E173" i="2"/>
  <c r="E268" i="2"/>
  <c r="E232" i="2"/>
  <c r="E256" i="2"/>
  <c r="E194" i="2"/>
  <c r="E269" i="2"/>
  <c r="E190" i="2"/>
  <c r="E230" i="2"/>
  <c r="E250" i="2"/>
  <c r="E201" i="2"/>
  <c r="E226" i="2"/>
  <c r="E277" i="2"/>
  <c r="E4" i="2"/>
  <c r="E5" i="2"/>
  <c r="E8" i="2"/>
  <c r="E10" i="2"/>
  <c r="E177" i="2"/>
  <c r="E216" i="2"/>
  <c r="E192" i="2"/>
  <c r="E328" i="2"/>
  <c r="E200" i="2"/>
  <c r="E185" i="2"/>
  <c r="E203" i="2"/>
  <c r="E196" i="2"/>
  <c r="E272" i="2"/>
  <c r="E9" i="2"/>
  <c r="E11" i="2"/>
  <c r="E176" i="2"/>
  <c r="E81" i="2"/>
  <c r="E82" i="2"/>
  <c r="E83" i="2"/>
  <c r="E84" i="2"/>
  <c r="E85" i="2"/>
  <c r="E86" i="2"/>
  <c r="E87" i="2"/>
  <c r="E89" i="2"/>
  <c r="E90" i="2"/>
  <c r="E91" i="2"/>
  <c r="E224" i="2"/>
  <c r="E178" i="2"/>
  <c r="E95" i="2"/>
  <c r="E96" i="2"/>
  <c r="E98" i="2"/>
  <c r="E102" i="2"/>
  <c r="E104" i="2"/>
  <c r="E111" i="2"/>
  <c r="E117" i="2"/>
  <c r="E124" i="2"/>
  <c r="E125" i="2"/>
  <c r="E126" i="2"/>
  <c r="E128" i="2"/>
  <c r="E132" i="2"/>
  <c r="E135" i="2"/>
  <c r="E215" i="2"/>
  <c r="E137" i="2"/>
  <c r="E139" i="2"/>
  <c r="E209" i="2"/>
  <c r="E238" i="2"/>
  <c r="E154" i="2"/>
  <c r="E150" i="2"/>
  <c r="E155" i="2"/>
  <c r="E227" i="2"/>
  <c r="E245" i="2"/>
  <c r="E199" i="2"/>
  <c r="E244" i="2"/>
  <c r="E292" i="2"/>
  <c r="E249" i="2"/>
  <c r="E162" i="2"/>
  <c r="E163" i="2"/>
  <c r="E110" i="2"/>
  <c r="E399" i="2"/>
  <c r="E165" i="2"/>
  <c r="E166" i="2"/>
  <c r="E168" i="2"/>
  <c r="E169" i="2"/>
  <c r="E561" i="2"/>
  <c r="E517" i="2"/>
  <c r="E613" i="2"/>
  <c r="E418" i="2"/>
  <c r="E368" i="2"/>
  <c r="E427" i="2"/>
  <c r="E29" i="2"/>
  <c r="E22" i="2"/>
  <c r="E21" i="2"/>
  <c r="E18" i="2"/>
  <c r="E531" i="2"/>
  <c r="E478" i="2"/>
  <c r="E266" i="2"/>
  <c r="E582" i="2"/>
  <c r="E615" i="2"/>
  <c r="E513" i="2"/>
  <c r="E521" i="2"/>
  <c r="E341" i="2"/>
  <c r="E498" i="2"/>
  <c r="E377" i="2"/>
  <c r="E55" i="2"/>
  <c r="E50" i="2"/>
  <c r="E56" i="2"/>
  <c r="E49" i="2"/>
  <c r="E54" i="2"/>
  <c r="E48" i="2"/>
  <c r="E47" i="2"/>
  <c r="E57" i="2"/>
  <c r="E52" i="2"/>
  <c r="E51" i="2"/>
  <c r="E39" i="2"/>
  <c r="E38" i="2"/>
  <c r="E46" i="2"/>
  <c r="E37" i="2"/>
  <c r="E42" i="2"/>
  <c r="E41" i="2"/>
  <c r="E40" i="2"/>
  <c r="E65" i="2"/>
  <c r="E63" i="2"/>
  <c r="E64" i="2"/>
  <c r="E61" i="2"/>
  <c r="E62" i="2"/>
  <c r="E502" i="2"/>
  <c r="E543" i="2"/>
  <c r="E386" i="2"/>
  <c r="E471" i="2"/>
  <c r="E616" i="2"/>
  <c r="E553" i="2"/>
  <c r="E544" i="2"/>
  <c r="E45" i="2"/>
  <c r="E43" i="2"/>
  <c r="E44" i="2"/>
  <c r="E583" i="2"/>
  <c r="E450" i="2"/>
  <c r="E320" i="2"/>
  <c r="E512" i="2"/>
  <c r="E59" i="2"/>
  <c r="E58" i="2"/>
  <c r="E60" i="2"/>
  <c r="E53" i="2"/>
  <c r="E322" i="2"/>
  <c r="E449" i="2"/>
  <c r="E436" i="2"/>
  <c r="E309" i="2"/>
  <c r="E343" i="2"/>
  <c r="E476" i="2"/>
  <c r="E345" i="2"/>
  <c r="E529" i="2"/>
  <c r="E480" i="2"/>
  <c r="E398" i="2"/>
  <c r="E274" i="2"/>
  <c r="E451" i="2"/>
  <c r="E411" i="2"/>
  <c r="E220" i="2"/>
  <c r="E412" i="2"/>
  <c r="E406" i="2"/>
  <c r="E297" i="2"/>
  <c r="E505" i="2"/>
  <c r="E282" i="2"/>
  <c r="E281" i="2"/>
  <c r="E548" i="2"/>
  <c r="E507" i="2"/>
  <c r="E365" i="2"/>
  <c r="E356" i="2"/>
  <c r="E550" i="2"/>
  <c r="E397" i="2"/>
  <c r="E454" i="2"/>
  <c r="E301" i="2"/>
  <c r="E518" i="2"/>
  <c r="E585" i="2"/>
  <c r="E568" i="2"/>
  <c r="E367" i="2"/>
  <c r="E278" i="2"/>
  <c r="E522" i="2"/>
  <c r="E252" i="2"/>
  <c r="E617" i="2"/>
  <c r="E618" i="2"/>
  <c r="E600" i="2"/>
  <c r="E619" i="2"/>
  <c r="E569" i="2"/>
  <c r="E487" i="2"/>
  <c r="E622" i="2"/>
  <c r="E482" i="2"/>
  <c r="E533" i="2"/>
  <c r="E403" i="2"/>
  <c r="E570" i="2"/>
  <c r="E359" i="2"/>
  <c r="E385" i="2"/>
  <c r="E535" i="2"/>
  <c r="E370" i="2"/>
  <c r="E514" i="2"/>
  <c r="E620" i="2"/>
  <c r="E545" i="2"/>
  <c r="E584" i="2"/>
  <c r="E571" i="2"/>
  <c r="E573" i="2"/>
  <c r="E455" i="2"/>
  <c r="E310" i="2"/>
  <c r="E621" i="2"/>
  <c r="E468" i="2"/>
  <c r="E475" i="2"/>
  <c r="E552" i="2"/>
  <c r="E311" i="2"/>
  <c r="E279" i="2"/>
  <c r="E395" i="2"/>
  <c r="E472" i="2"/>
  <c r="E602" i="2"/>
  <c r="E509" i="2"/>
  <c r="E623" i="2"/>
  <c r="E572" i="2"/>
  <c r="E327" i="2"/>
  <c r="E263" i="2"/>
  <c r="E350" i="2"/>
  <c r="E319" i="2"/>
  <c r="E488" i="2"/>
  <c r="E349" i="2"/>
  <c r="E348" i="2"/>
  <c r="E251" i="2"/>
  <c r="E466" i="2"/>
  <c r="E273" i="2"/>
  <c r="E246" i="2"/>
  <c r="E624" i="2"/>
  <c r="E429" i="2"/>
  <c r="E289" i="2"/>
  <c r="E626" i="2"/>
  <c r="E586" i="2"/>
  <c r="E379" i="2"/>
  <c r="E574" i="2"/>
  <c r="E431" i="2"/>
  <c r="E587" i="2"/>
  <c r="E414" i="2"/>
  <c r="E578" i="2"/>
  <c r="E255" i="2"/>
  <c r="E30" i="2"/>
  <c r="E28" i="2"/>
  <c r="E627" i="2"/>
  <c r="E603" i="2"/>
  <c r="E628" i="2"/>
  <c r="E430" i="2"/>
  <c r="E425" i="2"/>
  <c r="E546" i="2"/>
  <c r="E453" i="2"/>
  <c r="E384" i="2"/>
  <c r="E404" i="2"/>
  <c r="E358" i="2"/>
  <c r="E267" i="2"/>
  <c r="E607" i="2"/>
  <c r="E589" i="2"/>
  <c r="E523" i="2"/>
  <c r="E520" i="2"/>
  <c r="E426" i="2"/>
  <c r="E75" i="2"/>
  <c r="E70" i="2"/>
  <c r="E71" i="2"/>
  <c r="E74" i="2"/>
  <c r="E72" i="2"/>
  <c r="E73" i="2"/>
  <c r="E407" i="2"/>
  <c r="E532" i="2"/>
  <c r="E444" i="2"/>
  <c r="E605" i="2"/>
  <c r="E298" i="2"/>
  <c r="E588" i="2"/>
  <c r="E460" i="2"/>
  <c r="E516" i="2"/>
  <c r="E508" i="2"/>
  <c r="E294" i="2"/>
  <c r="E606" i="2"/>
  <c r="E287" i="2"/>
  <c r="E422" i="2"/>
  <c r="E438" i="2"/>
  <c r="E283" i="2"/>
  <c r="E629" i="2"/>
  <c r="E305" i="2"/>
  <c r="E524" i="2"/>
  <c r="E630" i="2"/>
  <c r="E481" i="2"/>
  <c r="E554" i="2"/>
  <c r="E262" i="2"/>
  <c r="E339" i="2"/>
  <c r="E323" i="2"/>
  <c r="E504" i="2"/>
  <c r="E440" i="2"/>
  <c r="E510" i="2"/>
  <c r="E591" i="2"/>
  <c r="E376" i="2"/>
  <c r="E405" i="2"/>
  <c r="E456" i="2"/>
  <c r="E413" i="2"/>
  <c r="E608" i="2"/>
  <c r="E525" i="2"/>
  <c r="E443" i="2"/>
  <c r="E527" i="2"/>
  <c r="E610" i="2"/>
  <c r="E428" i="2"/>
  <c r="E540" i="2"/>
  <c r="E631" i="2"/>
  <c r="E467" i="2"/>
  <c r="E364" i="2"/>
  <c r="E590" i="2"/>
  <c r="E576" i="2"/>
  <c r="E25" i="2"/>
  <c r="E27" i="2"/>
  <c r="E24" i="2"/>
  <c r="E331" i="2"/>
  <c r="E534" i="2"/>
  <c r="E577" i="2"/>
  <c r="E434" i="2"/>
  <c r="E511" i="2"/>
  <c r="E579" i="2"/>
  <c r="E593" i="2"/>
  <c r="E79" i="2"/>
  <c r="E78" i="2"/>
  <c r="E77" i="2"/>
  <c r="E76" i="2"/>
  <c r="E360" i="2"/>
  <c r="E489" i="2"/>
  <c r="E484" i="2"/>
  <c r="E247" i="2"/>
  <c r="E254" i="2"/>
  <c r="E280" i="2"/>
  <c r="E409" i="2"/>
  <c r="E236" i="2"/>
  <c r="E304" i="2"/>
  <c r="E219" i="2"/>
  <c r="E457" i="2"/>
  <c r="E260" i="2"/>
  <c r="E541" i="2"/>
  <c r="E557" i="2"/>
  <c r="E371" i="2"/>
  <c r="E594" i="2"/>
  <c r="E344" i="2"/>
  <c r="E632" i="2"/>
  <c r="E609" i="2"/>
  <c r="E547" i="2"/>
  <c r="E394" i="2"/>
  <c r="E321" i="2"/>
  <c r="E380" i="2"/>
  <c r="E306" i="2"/>
  <c r="E325" i="2"/>
  <c r="E447" i="2"/>
  <c r="E270" i="2"/>
  <c r="E633" i="2"/>
  <c r="E462" i="2"/>
  <c r="E361" i="2"/>
  <c r="E490" i="2"/>
  <c r="E435" i="2"/>
  <c r="E634" i="2"/>
  <c r="E580" i="2"/>
  <c r="E494" i="2"/>
  <c r="E635" i="2"/>
  <c r="E611" i="2"/>
  <c r="E34" i="2"/>
  <c r="E32" i="2"/>
  <c r="E33" i="2"/>
  <c r="E31" i="2"/>
  <c r="E452" i="2"/>
  <c r="E271" i="2"/>
  <c r="E530" i="2"/>
  <c r="E308" i="2"/>
  <c r="E396" i="2"/>
  <c r="E495" i="2"/>
  <c r="E408" i="2"/>
  <c r="E264" i="2"/>
  <c r="E612" i="2"/>
  <c r="E581" i="2"/>
  <c r="E559" i="2"/>
  <c r="E381" i="2"/>
  <c r="E636" i="2"/>
  <c r="E599" i="2"/>
  <c r="E637" i="2"/>
  <c r="E333" i="2"/>
  <c r="E299" i="2"/>
  <c r="E461" i="2"/>
  <c r="E67" i="2"/>
  <c r="E66" i="2"/>
  <c r="E68" i="2"/>
  <c r="E69" i="2"/>
  <c r="E330" i="2"/>
  <c r="E332" i="2"/>
  <c r="E257" i="2"/>
  <c r="E171" i="2"/>
  <c r="S4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15" i="1"/>
  <c r="D317" i="1"/>
  <c r="D319" i="1"/>
  <c r="D321" i="1"/>
  <c r="D313" i="1"/>
  <c r="D310" i="1"/>
  <c r="D306" i="1"/>
  <c r="D307" i="1"/>
  <c r="D312" i="1"/>
  <c r="D305" i="1"/>
  <c r="D309" i="1"/>
  <c r="D311" i="1"/>
  <c r="D308" i="1"/>
  <c r="D322" i="1"/>
  <c r="D314" i="1"/>
  <c r="D316" i="1"/>
  <c r="D320" i="1"/>
  <c r="D318" i="1"/>
  <c r="D330" i="1"/>
  <c r="D326" i="1"/>
  <c r="D324" i="1"/>
  <c r="D333" i="1"/>
  <c r="D327" i="1"/>
  <c r="D334" i="1"/>
  <c r="D329" i="1"/>
  <c r="D331" i="1"/>
  <c r="D323" i="1"/>
  <c r="D325" i="1"/>
  <c r="D328" i="1"/>
  <c r="D332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2" i="1"/>
  <c r="J499" i="2"/>
  <c r="J491" i="2"/>
  <c r="J293" i="2"/>
  <c r="J324" i="2"/>
  <c r="J346" i="2"/>
  <c r="J526" i="2"/>
  <c r="J595" i="2"/>
  <c r="J492" i="2"/>
  <c r="J336" i="2"/>
  <c r="J441" i="2"/>
  <c r="J537" i="2"/>
  <c r="J417" i="2"/>
  <c r="J562" i="2"/>
  <c r="J542" i="2"/>
  <c r="J470" i="2"/>
  <c r="J439" i="2"/>
  <c r="J500" i="2"/>
  <c r="J389" i="2"/>
  <c r="J464" i="2"/>
  <c r="J290" i="2"/>
  <c r="J528" i="2"/>
  <c r="J549" i="2"/>
  <c r="J420" i="2"/>
  <c r="J375" i="2"/>
  <c r="J501" i="2"/>
  <c r="J563" i="2"/>
  <c r="J564" i="2"/>
  <c r="J596" i="2"/>
  <c r="J419" i="2"/>
  <c r="J614" i="2"/>
  <c r="J421" i="2"/>
  <c r="J474" i="2"/>
  <c r="J565" i="2"/>
  <c r="J390" i="2"/>
  <c r="J402" i="2"/>
  <c r="J503" i="2"/>
  <c r="J355" i="2"/>
  <c r="J410" i="2"/>
  <c r="J597" i="2"/>
  <c r="J598" i="2"/>
  <c r="J366" i="2"/>
  <c r="J314" i="2"/>
  <c r="J354" i="2"/>
  <c r="J253" i="2"/>
  <c r="J315" i="2"/>
  <c r="J326" i="2"/>
  <c r="J538" i="2"/>
  <c r="J458" i="2"/>
  <c r="J539" i="2"/>
  <c r="J567" i="2"/>
  <c r="J393" i="2"/>
  <c r="J415" i="2"/>
  <c r="J519" i="2"/>
  <c r="J387" i="2"/>
  <c r="J302" i="2"/>
  <c r="J352" i="2"/>
  <c r="J378" i="2"/>
  <c r="J416" i="2"/>
  <c r="J337" i="2"/>
  <c r="J329" i="2"/>
  <c r="J303" i="2"/>
  <c r="J312" i="2"/>
  <c r="J374" i="2"/>
  <c r="J351" i="2"/>
  <c r="J551" i="2"/>
  <c r="J459" i="2"/>
  <c r="J362" i="2"/>
  <c r="J400" i="2"/>
  <c r="J372" i="2"/>
  <c r="J493" i="2"/>
  <c r="J601" i="2"/>
  <c r="J357" i="2"/>
  <c r="J391" i="2"/>
  <c r="J363" i="2"/>
  <c r="J496" i="2"/>
  <c r="J483" i="2"/>
  <c r="J506" i="2"/>
  <c r="J134" i="2"/>
  <c r="J625" i="2"/>
  <c r="J401" i="2"/>
  <c r="J313" i="2"/>
  <c r="J485" i="2"/>
  <c r="J338" i="2"/>
  <c r="J392" i="2"/>
  <c r="J486" i="2"/>
  <c r="J515" i="2"/>
  <c r="J473" i="2"/>
  <c r="J342" i="2"/>
  <c r="J437" i="2"/>
  <c r="J448" i="2"/>
  <c r="J497" i="2"/>
  <c r="J445" i="2"/>
  <c r="J334" i="2"/>
  <c r="J592" i="2"/>
  <c r="J382" i="2"/>
  <c r="J446" i="2"/>
  <c r="J261" i="2"/>
  <c r="J536" i="2"/>
  <c r="J164" i="2"/>
  <c r="J463" i="2"/>
  <c r="J167" i="2"/>
  <c r="J206" i="2"/>
  <c r="J558" i="2"/>
  <c r="J432" i="2"/>
  <c r="J383" i="2"/>
  <c r="J369" i="2"/>
  <c r="J23" i="2"/>
  <c r="J20" i="2"/>
  <c r="J19" i="2"/>
  <c r="J340" i="2"/>
  <c r="J469" i="2"/>
  <c r="J353" i="2"/>
  <c r="J465" i="2"/>
  <c r="J300" i="2"/>
  <c r="J347" i="2"/>
  <c r="J88" i="2"/>
  <c r="J479" i="2"/>
  <c r="J92" i="2"/>
  <c r="J93" i="2"/>
  <c r="J94" i="2"/>
  <c r="J97" i="2"/>
  <c r="J99" i="2"/>
  <c r="J100" i="2"/>
  <c r="J101" i="2"/>
  <c r="J103" i="2"/>
  <c r="J105" i="2"/>
  <c r="J106" i="2"/>
  <c r="J107" i="2"/>
  <c r="J108" i="2"/>
  <c r="J109" i="2"/>
  <c r="J112" i="2"/>
  <c r="J113" i="2"/>
  <c r="J115" i="2"/>
  <c r="J121" i="2"/>
  <c r="J122" i="2"/>
  <c r="J123" i="2"/>
  <c r="J127" i="2"/>
  <c r="J130" i="2"/>
  <c r="J129" i="2"/>
  <c r="J131" i="2"/>
  <c r="J556" i="2"/>
  <c r="J317" i="2"/>
  <c r="J604" i="2"/>
  <c r="J231" i="2"/>
  <c r="J243" i="2"/>
  <c r="J335" i="2"/>
  <c r="J318" i="2"/>
  <c r="J373" i="2"/>
  <c r="J555" i="2"/>
  <c r="J575" i="2"/>
  <c r="J477" i="2"/>
  <c r="J275" i="2"/>
  <c r="J286" i="2"/>
  <c r="J114" i="2"/>
  <c r="J116" i="2"/>
  <c r="J170" i="2"/>
  <c r="J259" i="2"/>
  <c r="J388" i="2"/>
  <c r="J2" i="2"/>
  <c r="J3" i="2"/>
  <c r="J566" i="2"/>
  <c r="J207" i="2"/>
  <c r="J189" i="2"/>
  <c r="J138" i="2"/>
  <c r="J120" i="2"/>
  <c r="J119" i="2"/>
  <c r="J141" i="2"/>
  <c r="J140" i="2"/>
  <c r="J142" i="2"/>
  <c r="J145" i="2"/>
  <c r="J136" i="2"/>
  <c r="J144" i="2"/>
  <c r="J146" i="2"/>
  <c r="J147" i="2"/>
  <c r="J148" i="2"/>
  <c r="J143" i="2"/>
  <c r="J149" i="2"/>
  <c r="J152" i="2"/>
  <c r="J151" i="2"/>
  <c r="J153" i="2"/>
  <c r="J156" i="2"/>
  <c r="J157" i="2"/>
  <c r="J118" i="2"/>
  <c r="J158" i="2"/>
  <c r="J159" i="2"/>
  <c r="J160" i="2"/>
  <c r="J161" i="2"/>
  <c r="J195" i="2"/>
  <c r="J424" i="2"/>
  <c r="J221" i="2"/>
  <c r="J208" i="2"/>
  <c r="J433" i="2"/>
  <c r="J316" i="2"/>
  <c r="J202" i="2"/>
  <c r="J241" i="2"/>
  <c r="J242" i="2"/>
  <c r="J211" i="2"/>
  <c r="J239" i="2"/>
  <c r="J6" i="2"/>
  <c r="J7" i="2"/>
  <c r="J218" i="2"/>
  <c r="J180" i="2"/>
  <c r="J288" i="2"/>
  <c r="J222" i="2"/>
  <c r="J284" i="2"/>
  <c r="J213" i="2"/>
  <c r="J181" i="2"/>
  <c r="J265" i="2"/>
  <c r="J205" i="2"/>
  <c r="J188" i="2"/>
  <c r="J183" i="2"/>
  <c r="J225" i="2"/>
  <c r="J228" i="2"/>
  <c r="J296" i="2"/>
  <c r="J210" i="2"/>
  <c r="J235" i="2"/>
  <c r="J191" i="2"/>
  <c r="J204" i="2"/>
  <c r="J12" i="2"/>
  <c r="J13" i="2"/>
  <c r="J14" i="2"/>
  <c r="J17" i="2"/>
  <c r="J15" i="2"/>
  <c r="J16" i="2"/>
  <c r="J35" i="2"/>
  <c r="J36" i="2"/>
  <c r="J291" i="2"/>
  <c r="J198" i="2"/>
  <c r="J295" i="2"/>
  <c r="J197" i="2"/>
  <c r="J248" i="2"/>
  <c r="J80" i="2"/>
  <c r="J179" i="2"/>
  <c r="J307" i="2"/>
  <c r="J182" i="2"/>
  <c r="J423" i="2"/>
  <c r="J133" i="2"/>
  <c r="J229" i="2"/>
  <c r="J223" i="2"/>
  <c r="J442" i="2"/>
  <c r="J187" i="2"/>
  <c r="J193" i="2"/>
  <c r="J217" i="2"/>
  <c r="J233" i="2"/>
  <c r="J184" i="2"/>
  <c r="J172" i="2"/>
  <c r="J285" i="2"/>
  <c r="J214" i="2"/>
  <c r="J240" i="2"/>
  <c r="J237" i="2"/>
  <c r="J174" i="2"/>
  <c r="J234" i="2"/>
  <c r="J212" i="2"/>
  <c r="J258" i="2"/>
  <c r="J186" i="2"/>
  <c r="J175" i="2"/>
  <c r="J173" i="2"/>
  <c r="J268" i="2"/>
  <c r="J232" i="2"/>
  <c r="J256" i="2"/>
  <c r="J194" i="2"/>
  <c r="J269" i="2"/>
  <c r="J190" i="2"/>
  <c r="J230" i="2"/>
  <c r="J250" i="2"/>
  <c r="J201" i="2"/>
  <c r="J226" i="2"/>
  <c r="J277" i="2"/>
  <c r="J4" i="2"/>
  <c r="J5" i="2"/>
  <c r="J8" i="2"/>
  <c r="J10" i="2"/>
  <c r="J177" i="2"/>
  <c r="J216" i="2"/>
  <c r="J192" i="2"/>
  <c r="J328" i="2"/>
  <c r="J200" i="2"/>
  <c r="J185" i="2"/>
  <c r="J203" i="2"/>
  <c r="J196" i="2"/>
  <c r="J272" i="2"/>
  <c r="J9" i="2"/>
  <c r="J11" i="2"/>
  <c r="J176" i="2"/>
  <c r="J81" i="2"/>
  <c r="J82" i="2"/>
  <c r="J83" i="2"/>
  <c r="J84" i="2"/>
  <c r="J85" i="2"/>
  <c r="J86" i="2"/>
  <c r="J87" i="2"/>
  <c r="J89" i="2"/>
  <c r="J90" i="2"/>
  <c r="J91" i="2"/>
  <c r="J224" i="2"/>
  <c r="J178" i="2"/>
  <c r="J95" i="2"/>
  <c r="J96" i="2"/>
  <c r="J98" i="2"/>
  <c r="J102" i="2"/>
  <c r="J104" i="2"/>
  <c r="J111" i="2"/>
  <c r="J117" i="2"/>
  <c r="J124" i="2"/>
  <c r="J125" i="2"/>
  <c r="J126" i="2"/>
  <c r="J128" i="2"/>
  <c r="J132" i="2"/>
  <c r="J135" i="2"/>
  <c r="J215" i="2"/>
  <c r="J137" i="2"/>
  <c r="J139" i="2"/>
  <c r="J209" i="2"/>
  <c r="J238" i="2"/>
  <c r="J154" i="2"/>
  <c r="J150" i="2"/>
  <c r="J155" i="2"/>
  <c r="J227" i="2"/>
  <c r="J245" i="2"/>
  <c r="J199" i="2"/>
  <c r="J244" i="2"/>
  <c r="J292" i="2"/>
  <c r="J249" i="2"/>
  <c r="J162" i="2"/>
  <c r="J163" i="2"/>
  <c r="J110" i="2"/>
  <c r="J399" i="2"/>
  <c r="J165" i="2"/>
  <c r="J166" i="2"/>
  <c r="J168" i="2"/>
  <c r="J169" i="2"/>
  <c r="J276" i="2"/>
  <c r="J561" i="2"/>
  <c r="J517" i="2"/>
  <c r="J418" i="2"/>
  <c r="J368" i="2"/>
  <c r="J531" i="2"/>
  <c r="J478" i="2"/>
  <c r="J582" i="2"/>
  <c r="J615" i="2"/>
  <c r="J521" i="2"/>
  <c r="J498" i="2"/>
  <c r="J502" i="2"/>
  <c r="J543" i="2"/>
  <c r="J471" i="2"/>
  <c r="J616" i="2"/>
  <c r="J553" i="2"/>
  <c r="J450" i="2"/>
  <c r="J320" i="2"/>
  <c r="J322" i="2"/>
  <c r="J449" i="2"/>
  <c r="J309" i="2"/>
  <c r="J343" i="2"/>
  <c r="J345" i="2"/>
  <c r="J480" i="2"/>
  <c r="J398" i="2"/>
  <c r="J451" i="2"/>
  <c r="J411" i="2"/>
  <c r="J412" i="2"/>
  <c r="J406" i="2"/>
  <c r="J505" i="2"/>
  <c r="J282" i="2"/>
  <c r="J548" i="2"/>
  <c r="J507" i="2"/>
  <c r="J356" i="2"/>
  <c r="J397" i="2"/>
  <c r="J454" i="2"/>
  <c r="J518" i="2"/>
  <c r="J585" i="2"/>
  <c r="J367" i="2"/>
  <c r="J278" i="2"/>
  <c r="J522" i="2"/>
  <c r="J617" i="2"/>
  <c r="J618" i="2"/>
  <c r="J619" i="2"/>
  <c r="J487" i="2"/>
  <c r="J622" i="2"/>
  <c r="J29" i="2"/>
  <c r="J30" i="2"/>
  <c r="J25" i="2"/>
  <c r="J22" i="2"/>
  <c r="J26" i="2"/>
  <c r="J21" i="2"/>
  <c r="J27" i="2"/>
  <c r="J34" i="2"/>
  <c r="J32" i="2"/>
  <c r="J403" i="2"/>
  <c r="J33" i="2"/>
  <c r="J570" i="2"/>
  <c r="J45" i="2"/>
  <c r="J39" i="2"/>
  <c r="J42" i="2"/>
  <c r="J385" i="2"/>
  <c r="J38" i="2"/>
  <c r="J535" i="2"/>
  <c r="J41" i="2"/>
  <c r="J43" i="2"/>
  <c r="J46" i="2"/>
  <c r="J514" i="2"/>
  <c r="J54" i="2"/>
  <c r="J57" i="2"/>
  <c r="J620" i="2"/>
  <c r="J545" i="2"/>
  <c r="J571" i="2"/>
  <c r="J573" i="2"/>
  <c r="J59" i="2"/>
  <c r="J55" i="2"/>
  <c r="J310" i="2"/>
  <c r="J621" i="2"/>
  <c r="J468" i="2"/>
  <c r="J48" i="2"/>
  <c r="J52" i="2"/>
  <c r="J50" i="2"/>
  <c r="J58" i="2"/>
  <c r="J56" i="2"/>
  <c r="J60" i="2"/>
  <c r="J65" i="2"/>
  <c r="J67" i="2"/>
  <c r="J552" i="2"/>
  <c r="J64" i="2"/>
  <c r="J63" i="2"/>
  <c r="J279" i="2"/>
  <c r="J395" i="2"/>
  <c r="J602" i="2"/>
  <c r="J66" i="2"/>
  <c r="J509" i="2"/>
  <c r="J61" i="2"/>
  <c r="J68" i="2"/>
  <c r="J75" i="2"/>
  <c r="J70" i="2"/>
  <c r="J71" i="2"/>
  <c r="J74" i="2"/>
  <c r="J572" i="2"/>
  <c r="J327" i="2"/>
  <c r="J263" i="2"/>
  <c r="J350" i="2"/>
  <c r="J488" i="2"/>
  <c r="J349" i="2"/>
  <c r="J348" i="2"/>
  <c r="J466" i="2"/>
  <c r="J273" i="2"/>
  <c r="J624" i="2"/>
  <c r="J429" i="2"/>
  <c r="J626" i="2"/>
  <c r="J586" i="2"/>
  <c r="J574" i="2"/>
  <c r="J587" i="2"/>
  <c r="J414" i="2"/>
  <c r="J578" i="2"/>
  <c r="J627" i="2"/>
  <c r="J628" i="2"/>
  <c r="J430" i="2"/>
  <c r="J546" i="2"/>
  <c r="J453" i="2"/>
  <c r="J404" i="2"/>
  <c r="J358" i="2"/>
  <c r="J607" i="2"/>
  <c r="J589" i="2"/>
  <c r="J520" i="2"/>
  <c r="J407" i="2"/>
  <c r="J532" i="2"/>
  <c r="J605" i="2"/>
  <c r="J298" i="2"/>
  <c r="J460" i="2"/>
  <c r="J516" i="2"/>
  <c r="J508" i="2"/>
  <c r="J294" i="2"/>
  <c r="J606" i="2"/>
  <c r="J422" i="2"/>
  <c r="J438" i="2"/>
  <c r="J629" i="2"/>
  <c r="J305" i="2"/>
  <c r="J524" i="2"/>
  <c r="J630" i="2"/>
  <c r="J481" i="2"/>
  <c r="J262" i="2"/>
  <c r="J339" i="2"/>
  <c r="J504" i="2"/>
  <c r="J510" i="2"/>
  <c r="J591" i="2"/>
  <c r="J405" i="2"/>
  <c r="J456" i="2"/>
  <c r="J608" i="2"/>
  <c r="J525" i="2"/>
  <c r="J527" i="2"/>
  <c r="J610" i="2"/>
  <c r="J540" i="2"/>
  <c r="J631" i="2"/>
  <c r="J364" i="2"/>
  <c r="J590" i="2"/>
  <c r="J331" i="2"/>
  <c r="J534" i="2"/>
  <c r="J434" i="2"/>
  <c r="J511" i="2"/>
  <c r="J579" i="2"/>
  <c r="J79" i="2"/>
  <c r="J78" i="2"/>
  <c r="J77" i="2"/>
  <c r="J360" i="2"/>
  <c r="J489" i="2"/>
  <c r="J247" i="2"/>
  <c r="J254" i="2"/>
  <c r="J409" i="2"/>
  <c r="J236" i="2"/>
  <c r="J304" i="2"/>
  <c r="J457" i="2"/>
  <c r="J260" i="2"/>
  <c r="J557" i="2"/>
  <c r="J371" i="2"/>
  <c r="J594" i="2"/>
  <c r="J632" i="2"/>
  <c r="J609" i="2"/>
  <c r="J547" i="2"/>
  <c r="J394" i="2"/>
  <c r="J321" i="2"/>
  <c r="J380" i="2"/>
  <c r="J325" i="2"/>
  <c r="J447" i="2"/>
  <c r="J633" i="2"/>
  <c r="J462" i="2"/>
  <c r="J361" i="2"/>
  <c r="J490" i="2"/>
  <c r="J634" i="2"/>
  <c r="J580" i="2"/>
  <c r="J494" i="2"/>
  <c r="J635" i="2"/>
  <c r="J452" i="2"/>
  <c r="J271" i="2"/>
  <c r="J530" i="2"/>
  <c r="J396" i="2"/>
  <c r="J495" i="2"/>
  <c r="J408" i="2"/>
  <c r="J612" i="2"/>
  <c r="J559" i="2"/>
  <c r="J636" i="2"/>
  <c r="J599" i="2"/>
  <c r="J333" i="2"/>
  <c r="J299" i="2"/>
  <c r="J330" i="2"/>
  <c r="J332" i="2"/>
  <c r="J431" i="2"/>
  <c r="J283" i="2"/>
  <c r="J281" i="2"/>
  <c r="J18" i="2"/>
  <c r="J47" i="2"/>
  <c r="J251" i="2"/>
  <c r="J264" i="2"/>
  <c r="J76" i="2"/>
  <c r="J266" i="2"/>
  <c r="J376" i="2"/>
  <c r="J370" i="2"/>
  <c r="J379" i="2"/>
  <c r="J51" i="2"/>
  <c r="J323" i="2"/>
  <c r="J523" i="2"/>
  <c r="J541" i="2"/>
  <c r="J49" i="2"/>
  <c r="J219" i="2"/>
  <c r="J428" i="2"/>
  <c r="J257" i="2"/>
  <c r="J37" i="2"/>
  <c r="J308" i="2"/>
  <c r="J255" i="2"/>
  <c r="J280" i="2"/>
  <c r="J24" i="2"/>
  <c r="J220" i="2"/>
  <c r="J306" i="2"/>
  <c r="J287" i="2"/>
  <c r="J31" i="2"/>
  <c r="J267" i="2"/>
  <c r="J359" i="2"/>
  <c r="J252" i="2"/>
  <c r="J44" i="2"/>
  <c r="J475" i="2"/>
  <c r="J72" i="2"/>
  <c r="J425" i="2"/>
  <c r="J246" i="2"/>
  <c r="J461" i="2"/>
  <c r="J377" i="2"/>
  <c r="J435" i="2"/>
  <c r="J443" i="2"/>
  <c r="J40" i="2"/>
  <c r="J319" i="2"/>
  <c r="J384" i="2"/>
  <c r="J270" i="2"/>
  <c r="J413" i="2"/>
  <c r="J341" i="2"/>
  <c r="J365" i="2"/>
  <c r="J512" i="2"/>
  <c r="J73" i="2"/>
  <c r="J62" i="2"/>
  <c r="J472" i="2"/>
  <c r="J301" i="2"/>
  <c r="J476" i="2"/>
  <c r="J529" i="2"/>
  <c r="J611" i="2"/>
  <c r="J467" i="2"/>
  <c r="J577" i="2"/>
  <c r="J576" i="2"/>
  <c r="J600" i="2"/>
  <c r="J53" i="2"/>
  <c r="J455" i="2"/>
  <c r="J444" i="2"/>
  <c r="J311" i="2"/>
  <c r="J381" i="2"/>
  <c r="J513" i="2"/>
  <c r="J482" i="2"/>
  <c r="J613" i="2"/>
  <c r="J28" i="2"/>
  <c r="J440" i="2"/>
  <c r="J568" i="2"/>
  <c r="J274" i="2"/>
  <c r="J289" i="2"/>
  <c r="J533" i="2"/>
  <c r="J426" i="2"/>
  <c r="J584" i="2"/>
  <c r="J484" i="2"/>
  <c r="J581" i="2"/>
  <c r="J344" i="2"/>
  <c r="J550" i="2"/>
  <c r="J583" i="2"/>
  <c r="J593" i="2"/>
  <c r="J427" i="2"/>
  <c r="J544" i="2"/>
  <c r="J386" i="2"/>
  <c r="J436" i="2"/>
  <c r="J554" i="2"/>
  <c r="J297" i="2"/>
  <c r="J569" i="2"/>
  <c r="J588" i="2"/>
  <c r="J637" i="2"/>
  <c r="J69" i="2"/>
  <c r="J603" i="2"/>
  <c r="J623" i="2"/>
  <c r="J560" i="2"/>
  <c r="J171" i="2"/>
  <c r="K102" i="2" l="1"/>
  <c r="K600" i="2"/>
  <c r="K407" i="2"/>
  <c r="K406" i="2"/>
  <c r="K13" i="2"/>
  <c r="K461" i="2"/>
  <c r="K589" i="2"/>
  <c r="K96" i="2"/>
  <c r="AQ4" i="2" s="1"/>
  <c r="K134" i="2"/>
  <c r="K333" i="2"/>
  <c r="K488" i="2"/>
  <c r="K451" i="2"/>
  <c r="K173" i="2"/>
  <c r="K133" i="2"/>
  <c r="K191" i="2"/>
  <c r="K211" i="2"/>
  <c r="K149" i="2"/>
  <c r="K259" i="2"/>
  <c r="K127" i="2"/>
  <c r="K479" i="2"/>
  <c r="K261" i="2"/>
  <c r="K506" i="2"/>
  <c r="K378" i="2"/>
  <c r="K355" i="2"/>
  <c r="K500" i="2"/>
  <c r="K171" i="2"/>
  <c r="K584" i="2"/>
  <c r="K611" i="2"/>
  <c r="K425" i="2"/>
  <c r="K541" i="2"/>
  <c r="K599" i="2"/>
  <c r="K380" i="2"/>
  <c r="K79" i="2"/>
  <c r="K262" i="2"/>
  <c r="K358" i="2"/>
  <c r="K350" i="2"/>
  <c r="K60" i="2"/>
  <c r="K41" i="2"/>
  <c r="K487" i="2"/>
  <c r="K398" i="2"/>
  <c r="K368" i="2"/>
  <c r="K150" i="2"/>
  <c r="K178" i="2"/>
  <c r="K328" i="2"/>
  <c r="K175" i="2"/>
  <c r="K423" i="2"/>
  <c r="K235" i="2"/>
  <c r="K242" i="2"/>
  <c r="K143" i="2"/>
  <c r="K170" i="2"/>
  <c r="K123" i="2"/>
  <c r="K88" i="2"/>
  <c r="K446" i="2"/>
  <c r="K483" i="2"/>
  <c r="K352" i="2"/>
  <c r="K503" i="2"/>
  <c r="K481" i="2"/>
  <c r="K579" i="2"/>
  <c r="K404" i="2"/>
  <c r="K435" i="2"/>
  <c r="K591" i="2"/>
  <c r="K54" i="2"/>
  <c r="K196" i="2"/>
  <c r="K7" i="2"/>
  <c r="K131" i="2"/>
  <c r="K94" i="2"/>
  <c r="K401" i="2"/>
  <c r="K290" i="2"/>
  <c r="K349" i="2"/>
  <c r="K474" i="2"/>
  <c r="K462" i="2"/>
  <c r="K299" i="2"/>
  <c r="K46" i="2"/>
  <c r="K185" i="2"/>
  <c r="K536" i="2"/>
  <c r="K246" i="2"/>
  <c r="K78" i="2"/>
  <c r="K622" i="2"/>
  <c r="K95" i="2"/>
  <c r="K529" i="2"/>
  <c r="K321" i="2"/>
  <c r="K472" i="2"/>
  <c r="K408" i="2"/>
  <c r="K305" i="2"/>
  <c r="K309" i="2"/>
  <c r="K353" i="2"/>
  <c r="K637" i="2"/>
  <c r="K370" i="2"/>
  <c r="K632" i="2"/>
  <c r="K331" i="2"/>
  <c r="K629" i="2"/>
  <c r="K628" i="2"/>
  <c r="K71" i="2"/>
  <c r="K48" i="2"/>
  <c r="K39" i="2"/>
  <c r="K278" i="2"/>
  <c r="K449" i="2"/>
  <c r="K169" i="2"/>
  <c r="K137" i="2"/>
  <c r="K87" i="2"/>
  <c r="K8" i="2"/>
  <c r="K174" i="2"/>
  <c r="K248" i="2"/>
  <c r="K183" i="2"/>
  <c r="K208" i="2"/>
  <c r="K136" i="2"/>
  <c r="K477" i="2"/>
  <c r="K112" i="2"/>
  <c r="K469" i="2"/>
  <c r="K497" i="2"/>
  <c r="K601" i="2"/>
  <c r="K393" i="2"/>
  <c r="K421" i="2"/>
  <c r="K537" i="2"/>
  <c r="K332" i="2"/>
  <c r="K64" i="2"/>
  <c r="K615" i="2"/>
  <c r="K256" i="2"/>
  <c r="K3" i="2"/>
  <c r="K329" i="2"/>
  <c r="K577" i="2"/>
  <c r="K77" i="2"/>
  <c r="K411" i="2"/>
  <c r="K204" i="2"/>
  <c r="K416" i="2"/>
  <c r="K484" i="2"/>
  <c r="K49" i="2"/>
  <c r="K339" i="2"/>
  <c r="K43" i="2"/>
  <c r="K531" i="2"/>
  <c r="K560" i="2"/>
  <c r="K523" i="2"/>
  <c r="K274" i="2"/>
  <c r="K379" i="2"/>
  <c r="K430" i="2"/>
  <c r="K42" i="2"/>
  <c r="K89" i="2"/>
  <c r="K80" i="2"/>
  <c r="K275" i="2"/>
  <c r="K357" i="2"/>
  <c r="K568" i="2"/>
  <c r="K495" i="2"/>
  <c r="K73" i="2"/>
  <c r="K396" i="2"/>
  <c r="K438" i="2"/>
  <c r="K468" i="2"/>
  <c r="K322" i="2"/>
  <c r="K215" i="2"/>
  <c r="K237" i="2"/>
  <c r="K221" i="2"/>
  <c r="K109" i="2"/>
  <c r="K567" i="2"/>
  <c r="K530" i="2"/>
  <c r="K424" i="2"/>
  <c r="K108" i="2"/>
  <c r="K539" i="2"/>
  <c r="K365" i="2"/>
  <c r="K271" i="2"/>
  <c r="K606" i="2"/>
  <c r="K310" i="2"/>
  <c r="K450" i="2"/>
  <c r="K84" i="2"/>
  <c r="K198" i="2"/>
  <c r="K140" i="2"/>
  <c r="K20" i="2"/>
  <c r="K458" i="2"/>
  <c r="K257" i="2"/>
  <c r="K466" i="2"/>
  <c r="K199" i="2"/>
  <c r="K442" i="2"/>
  <c r="K153" i="2"/>
  <c r="K463" i="2"/>
  <c r="K581" i="2"/>
  <c r="K447" i="2"/>
  <c r="K67" i="2"/>
  <c r="K478" i="2"/>
  <c r="K268" i="2"/>
  <c r="K239" i="2"/>
  <c r="K388" i="2"/>
  <c r="K92" i="2"/>
  <c r="K389" i="2"/>
  <c r="K467" i="2"/>
  <c r="K325" i="2"/>
  <c r="K65" i="2"/>
  <c r="K155" i="2"/>
  <c r="K426" i="2"/>
  <c r="K636" i="2"/>
  <c r="K69" i="2"/>
  <c r="K252" i="2"/>
  <c r="K534" i="2"/>
  <c r="K52" i="2"/>
  <c r="K276" i="2"/>
  <c r="K10" i="2"/>
  <c r="K225" i="2"/>
  <c r="K144" i="2"/>
  <c r="K415" i="2"/>
  <c r="K359" i="2"/>
  <c r="K440" i="2"/>
  <c r="K376" i="2"/>
  <c r="K590" i="2"/>
  <c r="K70" i="2"/>
  <c r="K367" i="2"/>
  <c r="K5" i="2"/>
  <c r="K188" i="2"/>
  <c r="K575" i="2"/>
  <c r="K448" i="2"/>
  <c r="K614" i="2"/>
  <c r="K28" i="2"/>
  <c r="K31" i="2"/>
  <c r="K371" i="2"/>
  <c r="K422" i="2"/>
  <c r="K75" i="2"/>
  <c r="K570" i="2"/>
  <c r="K320" i="2"/>
  <c r="K135" i="2"/>
  <c r="K4" i="2"/>
  <c r="K295" i="2"/>
  <c r="K142" i="2"/>
  <c r="K437" i="2"/>
  <c r="K419" i="2"/>
  <c r="K613" i="2"/>
  <c r="K76" i="2"/>
  <c r="K631" i="2"/>
  <c r="K68" i="2"/>
  <c r="K518" i="2"/>
  <c r="K132" i="2"/>
  <c r="K214" i="2"/>
  <c r="K195" i="2"/>
  <c r="K107" i="2"/>
  <c r="K596" i="2"/>
  <c r="K550" i="2"/>
  <c r="K489" i="2"/>
  <c r="K25" i="2"/>
  <c r="K598" i="2"/>
  <c r="K219" i="2"/>
  <c r="K504" i="2"/>
  <c r="K29" i="2"/>
  <c r="K227" i="2"/>
  <c r="K229" i="2"/>
  <c r="K152" i="2"/>
  <c r="K130" i="2"/>
  <c r="K410" i="2"/>
  <c r="K607" i="2"/>
  <c r="K200" i="2"/>
  <c r="K72" i="2"/>
  <c r="K609" i="2"/>
  <c r="K74" i="2"/>
  <c r="K522" i="2"/>
  <c r="K139" i="2"/>
  <c r="K234" i="2"/>
  <c r="K433" i="2"/>
  <c r="K113" i="2"/>
  <c r="K445" i="2"/>
  <c r="K62" i="2"/>
  <c r="K588" i="2"/>
  <c r="K267" i="2"/>
  <c r="K594" i="2"/>
  <c r="K627" i="2"/>
  <c r="K45" i="2"/>
  <c r="K168" i="2"/>
  <c r="K86" i="2"/>
  <c r="K197" i="2"/>
  <c r="K145" i="2"/>
  <c r="K340" i="2"/>
  <c r="K493" i="2"/>
  <c r="K441" i="2"/>
  <c r="K569" i="2"/>
  <c r="K512" i="2"/>
  <c r="K266" i="2"/>
  <c r="K364" i="2"/>
  <c r="K578" i="2"/>
  <c r="K621" i="2"/>
  <c r="K585" i="2"/>
  <c r="K166" i="2"/>
  <c r="K85" i="2"/>
  <c r="K240" i="2"/>
  <c r="K205" i="2"/>
  <c r="K555" i="2"/>
  <c r="K19" i="2"/>
  <c r="K372" i="2"/>
  <c r="K336" i="2"/>
  <c r="K297" i="2"/>
  <c r="K287" i="2"/>
  <c r="K557" i="2"/>
  <c r="K414" i="2"/>
  <c r="K33" i="2"/>
  <c r="K165" i="2"/>
  <c r="K277" i="2"/>
  <c r="K265" i="2"/>
  <c r="K373" i="2"/>
  <c r="K342" i="2"/>
  <c r="K400" i="2"/>
  <c r="K492" i="2"/>
  <c r="K341" i="2"/>
  <c r="K260" i="2"/>
  <c r="K587" i="2"/>
  <c r="K454" i="2"/>
  <c r="K83" i="2"/>
  <c r="K181" i="2"/>
  <c r="K106" i="2"/>
  <c r="K538" i="2"/>
  <c r="K413" i="2"/>
  <c r="K457" i="2"/>
  <c r="K574" i="2"/>
  <c r="K397" i="2"/>
  <c r="K201" i="2"/>
  <c r="K160" i="2"/>
  <c r="K105" i="2"/>
  <c r="K326" i="2"/>
  <c r="K270" i="2"/>
  <c r="K304" i="2"/>
  <c r="K586" i="2"/>
  <c r="K356" i="2"/>
  <c r="K125" i="2"/>
  <c r="K184" i="2"/>
  <c r="K159" i="2"/>
  <c r="K103" i="2"/>
  <c r="K551" i="2"/>
  <c r="K346" i="2"/>
  <c r="K384" i="2"/>
  <c r="K236" i="2"/>
  <c r="K571" i="2"/>
  <c r="K124" i="2"/>
  <c r="K158" i="2"/>
  <c r="K351" i="2"/>
  <c r="K324" i="2"/>
  <c r="K482" i="2"/>
  <c r="K264" i="2"/>
  <c r="K294" i="2"/>
  <c r="K403" i="2"/>
  <c r="K128" i="2"/>
  <c r="K291" i="2"/>
  <c r="K141" i="2"/>
  <c r="K473" i="2"/>
  <c r="K595" i="2"/>
  <c r="K220" i="2"/>
  <c r="K610" i="2"/>
  <c r="K59" i="2"/>
  <c r="K616" i="2"/>
  <c r="K82" i="2"/>
  <c r="K36" i="2"/>
  <c r="K119" i="2"/>
  <c r="K515" i="2"/>
  <c r="K563" i="2"/>
  <c r="K386" i="2"/>
  <c r="K47" i="2"/>
  <c r="K527" i="2"/>
  <c r="K573" i="2"/>
  <c r="K471" i="2"/>
  <c r="K81" i="2"/>
  <c r="K35" i="2"/>
  <c r="K243" i="2"/>
  <c r="K486" i="2"/>
  <c r="K315" i="2"/>
  <c r="K311" i="2"/>
  <c r="K18" i="2"/>
  <c r="K525" i="2"/>
  <c r="K626" i="2"/>
  <c r="K27" i="2"/>
  <c r="K543" i="2"/>
  <c r="K176" i="2"/>
  <c r="K233" i="2"/>
  <c r="K222" i="2"/>
  <c r="K231" i="2"/>
  <c r="K432" i="2"/>
  <c r="K253" i="2"/>
  <c r="K427" i="2"/>
  <c r="K319" i="2"/>
  <c r="K281" i="2"/>
  <c r="K409" i="2"/>
  <c r="K608" i="2"/>
  <c r="K298" i="2"/>
  <c r="K429" i="2"/>
  <c r="K395" i="2"/>
  <c r="K545" i="2"/>
  <c r="K21" i="2"/>
  <c r="K548" i="2"/>
  <c r="K502" i="2"/>
  <c r="K249" i="2"/>
  <c r="K117" i="2"/>
  <c r="K11" i="2"/>
  <c r="K190" i="2"/>
  <c r="K217" i="2"/>
  <c r="K15" i="2"/>
  <c r="K288" i="2"/>
  <c r="K118" i="2"/>
  <c r="K189" i="2"/>
  <c r="K604" i="2"/>
  <c r="K100" i="2"/>
  <c r="K558" i="2"/>
  <c r="K338" i="2"/>
  <c r="K374" i="2"/>
  <c r="K354" i="2"/>
  <c r="K420" i="2"/>
  <c r="K293" i="2"/>
  <c r="K554" i="2"/>
  <c r="K452" i="2"/>
  <c r="K61" i="2"/>
  <c r="K553" i="2"/>
  <c r="K226" i="2"/>
  <c r="K161" i="2"/>
  <c r="K23" i="2"/>
  <c r="K564" i="2"/>
  <c r="K436" i="2"/>
  <c r="K251" i="2"/>
  <c r="K508" i="2"/>
  <c r="K32" i="2"/>
  <c r="K126" i="2"/>
  <c r="K213" i="2"/>
  <c r="K335" i="2"/>
  <c r="K459" i="2"/>
  <c r="K526" i="2"/>
  <c r="K381" i="2"/>
  <c r="K494" i="2"/>
  <c r="K516" i="2"/>
  <c r="K34" i="2"/>
  <c r="K163" i="2"/>
  <c r="K250" i="2"/>
  <c r="K284" i="2"/>
  <c r="K383" i="2"/>
  <c r="K501" i="2"/>
  <c r="K544" i="2"/>
  <c r="K280" i="2"/>
  <c r="K580" i="2"/>
  <c r="K460" i="2"/>
  <c r="K602" i="2"/>
  <c r="K507" i="2"/>
  <c r="K162" i="2"/>
  <c r="K230" i="2"/>
  <c r="K16" i="2"/>
  <c r="K138" i="2"/>
  <c r="K101" i="2"/>
  <c r="K392" i="2"/>
  <c r="K375" i="2"/>
  <c r="K444" i="2"/>
  <c r="K255" i="2"/>
  <c r="K634" i="2"/>
  <c r="K593" i="2"/>
  <c r="K455" i="2"/>
  <c r="K40" i="2"/>
  <c r="K308" i="2"/>
  <c r="K283" i="2"/>
  <c r="K490" i="2"/>
  <c r="K254" i="2"/>
  <c r="K456" i="2"/>
  <c r="K605" i="2"/>
  <c r="K624" i="2"/>
  <c r="K279" i="2"/>
  <c r="K620" i="2"/>
  <c r="K26" i="2"/>
  <c r="K282" i="2"/>
  <c r="K498" i="2"/>
  <c r="K292" i="2"/>
  <c r="K111" i="2"/>
  <c r="K9" i="2"/>
  <c r="K269" i="2"/>
  <c r="K193" i="2"/>
  <c r="K17" i="2"/>
  <c r="K180" i="2"/>
  <c r="K157" i="2"/>
  <c r="K207" i="2"/>
  <c r="K317" i="2"/>
  <c r="K99" i="2"/>
  <c r="K206" i="2"/>
  <c r="K485" i="2"/>
  <c r="K312" i="2"/>
  <c r="K314" i="2"/>
  <c r="K549" i="2"/>
  <c r="K491" i="2"/>
  <c r="K306" i="2"/>
  <c r="K540" i="2"/>
  <c r="K55" i="2"/>
  <c r="K399" i="2"/>
  <c r="K285" i="2"/>
  <c r="K318" i="2"/>
  <c r="K362" i="2"/>
  <c r="K513" i="2"/>
  <c r="K635" i="2"/>
  <c r="K509" i="2"/>
  <c r="K110" i="2"/>
  <c r="K172" i="2"/>
  <c r="K369" i="2"/>
  <c r="K24" i="2"/>
  <c r="K66" i="2"/>
  <c r="K120" i="2"/>
  <c r="K583" i="2"/>
  <c r="K53" i="2"/>
  <c r="K443" i="2"/>
  <c r="K37" i="2"/>
  <c r="K431" i="2"/>
  <c r="K361" i="2"/>
  <c r="K247" i="2"/>
  <c r="K405" i="2"/>
  <c r="K532" i="2"/>
  <c r="K273" i="2"/>
  <c r="K63" i="2"/>
  <c r="K57" i="2"/>
  <c r="K22" i="2"/>
  <c r="K505" i="2"/>
  <c r="K521" i="2"/>
  <c r="K244" i="2"/>
  <c r="K104" i="2"/>
  <c r="K272" i="2"/>
  <c r="K194" i="2"/>
  <c r="K187" i="2"/>
  <c r="K14" i="2"/>
  <c r="K218" i="2"/>
  <c r="K156" i="2"/>
  <c r="K566" i="2"/>
  <c r="K556" i="2"/>
  <c r="K97" i="2"/>
  <c r="K167" i="2"/>
  <c r="K313" i="2"/>
  <c r="K303" i="2"/>
  <c r="K366" i="2"/>
  <c r="K528" i="2"/>
  <c r="K499" i="2"/>
  <c r="K344" i="2"/>
  <c r="K576" i="2"/>
  <c r="K377" i="2"/>
  <c r="K428" i="2"/>
  <c r="K330" i="2"/>
  <c r="K633" i="2"/>
  <c r="K360" i="2"/>
  <c r="K510" i="2"/>
  <c r="K520" i="2"/>
  <c r="K348" i="2"/>
  <c r="K552" i="2"/>
  <c r="K514" i="2"/>
  <c r="K30" i="2"/>
  <c r="K412" i="2"/>
  <c r="K582" i="2"/>
  <c r="K245" i="2"/>
  <c r="K98" i="2"/>
  <c r="K203" i="2"/>
  <c r="K232" i="2"/>
  <c r="K223" i="2"/>
  <c r="K12" i="2"/>
  <c r="K6" i="2"/>
  <c r="K151" i="2"/>
  <c r="K2" i="2"/>
  <c r="K129" i="2"/>
  <c r="K93" i="2"/>
  <c r="K164" i="2"/>
  <c r="K625" i="2"/>
  <c r="K337" i="2"/>
  <c r="K597" i="2"/>
  <c r="K464" i="2"/>
  <c r="K439" i="2"/>
  <c r="K470" i="2"/>
  <c r="K263" i="2"/>
  <c r="K56" i="2"/>
  <c r="K535" i="2"/>
  <c r="K619" i="2"/>
  <c r="K480" i="2"/>
  <c r="K418" i="2"/>
  <c r="K154" i="2"/>
  <c r="K224" i="2"/>
  <c r="K192" i="2"/>
  <c r="K186" i="2"/>
  <c r="K182" i="2"/>
  <c r="K210" i="2"/>
  <c r="K241" i="2"/>
  <c r="K148" i="2"/>
  <c r="K116" i="2"/>
  <c r="K122" i="2"/>
  <c r="K347" i="2"/>
  <c r="K382" i="2"/>
  <c r="K496" i="2"/>
  <c r="K302" i="2"/>
  <c r="K402" i="2"/>
  <c r="K623" i="2"/>
  <c r="K533" i="2"/>
  <c r="K476" i="2"/>
  <c r="K475" i="2"/>
  <c r="K323" i="2"/>
  <c r="K559" i="2"/>
  <c r="K394" i="2"/>
  <c r="K511" i="2"/>
  <c r="K630" i="2"/>
  <c r="K453" i="2"/>
  <c r="K327" i="2"/>
  <c r="K58" i="2"/>
  <c r="K38" i="2"/>
  <c r="K618" i="2"/>
  <c r="K345" i="2"/>
  <c r="K517" i="2"/>
  <c r="K238" i="2"/>
  <c r="K91" i="2"/>
  <c r="K216" i="2"/>
  <c r="K258" i="2"/>
  <c r="K307" i="2"/>
  <c r="K296" i="2"/>
  <c r="K202" i="2"/>
  <c r="K147" i="2"/>
  <c r="K114" i="2"/>
  <c r="K121" i="2"/>
  <c r="K300" i="2"/>
  <c r="K592" i="2"/>
  <c r="K363" i="2"/>
  <c r="K387" i="2"/>
  <c r="K390" i="2"/>
  <c r="K542" i="2"/>
  <c r="K603" i="2"/>
  <c r="K289" i="2"/>
  <c r="K301" i="2"/>
  <c r="K44" i="2"/>
  <c r="K51" i="2"/>
  <c r="K612" i="2"/>
  <c r="K547" i="2"/>
  <c r="K434" i="2"/>
  <c r="K524" i="2"/>
  <c r="K546" i="2"/>
  <c r="K572" i="2"/>
  <c r="K50" i="2"/>
  <c r="K385" i="2"/>
  <c r="K617" i="2"/>
  <c r="K343" i="2"/>
  <c r="K561" i="2"/>
  <c r="K209" i="2"/>
  <c r="K90" i="2"/>
  <c r="K177" i="2"/>
  <c r="K212" i="2"/>
  <c r="K179" i="2"/>
  <c r="K228" i="2"/>
  <c r="K316" i="2"/>
  <c r="K146" i="2"/>
  <c r="K286" i="2"/>
  <c r="K115" i="2"/>
  <c r="K465" i="2"/>
  <c r="K334" i="2"/>
  <c r="K391" i="2"/>
  <c r="K519" i="2"/>
  <c r="K565" i="2"/>
  <c r="K562" i="2"/>
  <c r="K417" i="2"/>
  <c r="S5" i="2" a="1"/>
  <c r="S7" i="2" s="1"/>
  <c r="AQ7" i="2" l="1"/>
  <c r="AQ5" i="2"/>
  <c r="AQ3" i="2"/>
  <c r="AQ6" i="2"/>
  <c r="AQ8" i="2"/>
  <c r="W3" i="2"/>
  <c r="W4" i="2"/>
  <c r="W5" i="2"/>
  <c r="W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<sst xmlns="http://schemas.openxmlformats.org/spreadsheetml/2006/main" count="5849" uniqueCount="665">
  <si>
    <t>superficie rocciosa ondulata da modellamento glaciale</t>
  </si>
  <si>
    <t>dolina</t>
  </si>
  <si>
    <t>ambito a forte dimamismo</t>
  </si>
  <si>
    <t>area interessata da diffusi fenomeni carsici</t>
  </si>
  <si>
    <t>alveo abbandonato</t>
  </si>
  <si>
    <t>area calanchiva</t>
  </si>
  <si>
    <t>superficie strutturale</t>
  </si>
  <si>
    <t>area di frane diffuse</t>
  </si>
  <si>
    <t>geoambientali</t>
  </si>
  <si>
    <t>Dataset</t>
  </si>
  <si>
    <t>layer</t>
  </si>
  <si>
    <t>AG_GEO_WGS</t>
  </si>
  <si>
    <t>CA_GEO_WGS</t>
  </si>
  <si>
    <t>cascata</t>
  </si>
  <si>
    <t>CO_GEO_WGS</t>
  </si>
  <si>
    <t>conoide di deiezione</t>
  </si>
  <si>
    <t>DS_GEO_WGS</t>
  </si>
  <si>
    <t>deposito</t>
  </si>
  <si>
    <t>detrito</t>
  </si>
  <si>
    <t>alluvione</t>
  </si>
  <si>
    <t>cordone morenico</t>
  </si>
  <si>
    <t>erosione incanalata</t>
  </si>
  <si>
    <t>traccia di scaricatore fluvioglaciale</t>
  </si>
  <si>
    <t>EI_GEO_WGS</t>
  </si>
  <si>
    <t>miniera</t>
  </si>
  <si>
    <t>EP_CTRGEO_WGS</t>
  </si>
  <si>
    <t>discarica</t>
  </si>
  <si>
    <t>cava</t>
  </si>
  <si>
    <t>FA_CTRGEO_WGS</t>
  </si>
  <si>
    <t>Valori unici nelle tabelle degli attributi</t>
  </si>
  <si>
    <t>frana non fedelmente cartografabile</t>
  </si>
  <si>
    <t>tracce di ruscellamento diffuso</t>
  </si>
  <si>
    <t>crolli</t>
  </si>
  <si>
    <t>soliflusso e creep</t>
  </si>
  <si>
    <t>contropendenze</t>
  </si>
  <si>
    <t>GD_GEO_WGS</t>
  </si>
  <si>
    <t>faglia</t>
  </si>
  <si>
    <t>frattura principale</t>
  </si>
  <si>
    <t>LS_GEO_WGS</t>
  </si>
  <si>
    <t>cresta</t>
  </si>
  <si>
    <t>nivomorena</t>
  </si>
  <si>
    <t>MG_GEO_WGS</t>
  </si>
  <si>
    <t>zona paludosa, acquitrinosa o sartumosa</t>
  </si>
  <si>
    <t>piana alluvionale</t>
  </si>
  <si>
    <t>tratto di alveo sovralluvionato</t>
  </si>
  <si>
    <t>PA_GEO_WGS</t>
  </si>
  <si>
    <t>PG_GEO_WGS</t>
  </si>
  <si>
    <t>rocce montonate</t>
  </si>
  <si>
    <t>cuscinetti erbosi</t>
  </si>
  <si>
    <t>massi erratici</t>
  </si>
  <si>
    <t>picchi</t>
  </si>
  <si>
    <t>grotte</t>
  </si>
  <si>
    <t>piramidi di terra</t>
  </si>
  <si>
    <t>sorgente carsica</t>
  </si>
  <si>
    <t>doline</t>
  </si>
  <si>
    <t>marmitte</t>
  </si>
  <si>
    <t>inghiottitoio</t>
  </si>
  <si>
    <t>SL_GEO_WGS</t>
  </si>
  <si>
    <t>Rocce effusive</t>
  </si>
  <si>
    <t>Conglomerato</t>
  </si>
  <si>
    <t>Arenaria</t>
  </si>
  <si>
    <t>Travertino</t>
  </si>
  <si>
    <t>Calcare</t>
  </si>
  <si>
    <t>Micascisti</t>
  </si>
  <si>
    <t>Quarziti</t>
  </si>
  <si>
    <t>Marna e marna calcarea</t>
  </si>
  <si>
    <t>Dolomia massiccia o stratificata</t>
  </si>
  <si>
    <t>Roccia sedimentaria silicea</t>
  </si>
  <si>
    <t>Rocce intrusive</t>
  </si>
  <si>
    <t>Rocce metamorfiche carbonatiche</t>
  </si>
  <si>
    <t>Rocce filoniane</t>
  </si>
  <si>
    <t>Argille con marne</t>
  </si>
  <si>
    <t>Flysch</t>
  </si>
  <si>
    <t>Argilla</t>
  </si>
  <si>
    <t>Filladi e argilloscisti</t>
  </si>
  <si>
    <t>Deposito gessoso e anidritico</t>
  </si>
  <si>
    <t>Gneiss</t>
  </si>
  <si>
    <t>Serpentiniti e altre rocce metamorfiche</t>
  </si>
  <si>
    <t>OS_GEP_WGS</t>
  </si>
  <si>
    <t>orlo di scarpata di origine antropica</t>
  </si>
  <si>
    <t>orlo di scarpata di degradazione o frana</t>
  </si>
  <si>
    <t>orlo di scarpata di erosione fluviale</t>
  </si>
  <si>
    <t>orlo di scarpata modellata da processi morfogenetici concomitanti</t>
  </si>
  <si>
    <t>orlo di scarpata di origine strutturale</t>
  </si>
  <si>
    <t>orlo di scarpata di erosione glaciale</t>
  </si>
  <si>
    <t>orlo di scarpata di cava o miniera a cielo aperto</t>
  </si>
  <si>
    <t>fascia di divagazione fluviale 1880-1950</t>
  </si>
  <si>
    <t>FASCIA_DIVAGAZIONE_FLUVIALE_1880_1950</t>
  </si>
  <si>
    <t xml:space="preserve">aree palustri </t>
  </si>
  <si>
    <t>WIZ_U32WG_VS_SIT_BASI_AREE_PALU</t>
  </si>
  <si>
    <t>WIZ_U32WG_VS_SIT_BASI_ELEESO</t>
  </si>
  <si>
    <t>piana di esondazione</t>
  </si>
  <si>
    <t>WIZ_U32WG_VS_SIT_BASI_ELELIN</t>
  </si>
  <si>
    <t>paleoalvei</t>
  </si>
  <si>
    <t>arco o cordone morenico</t>
  </si>
  <si>
    <t>orlo di scarpata di degradazione o di frana - non attivo</t>
  </si>
  <si>
    <t>scarpata di erosione di scaricatore fluvioglaciale smussato</t>
  </si>
  <si>
    <t>orlo di scarpata di degradazione o di frana - attivo</t>
  </si>
  <si>
    <t>tracce di scaricatori fluvioglaciali</t>
  </si>
  <si>
    <t>orlo di scarpata di degradazione o di frana - quiescente</t>
  </si>
  <si>
    <t>cresta rocciosa</t>
  </si>
  <si>
    <t>crinali arrotondati</t>
  </si>
  <si>
    <t>scarpata di erosione di scaricatore fluvioglaciale evidente</t>
  </si>
  <si>
    <t>Orlo di terrazzo di erosione fluviotorrentizia evidente</t>
  </si>
  <si>
    <t>alveo torrentizio in erosione o incassato</t>
  </si>
  <si>
    <t>solco di ruscellamento concentrato</t>
  </si>
  <si>
    <t>forra</t>
  </si>
  <si>
    <t>processi di salto di meandro</t>
  </si>
  <si>
    <t>orlo di terrazzo di erosione fluviotorrentizia smussato</t>
  </si>
  <si>
    <t>gomiti di cattura fluviale</t>
  </si>
  <si>
    <t>Dossi fluviali</t>
  </si>
  <si>
    <t>Faglia o lineazione presunta o incerta</t>
  </si>
  <si>
    <t>Tratto di alveo fluviale incassato</t>
  </si>
  <si>
    <t>Vallecola a V</t>
  </si>
  <si>
    <t>Incisione a fondo piatto (meandri)</t>
  </si>
  <si>
    <t>Faglia o lineazione</t>
  </si>
  <si>
    <t>Erosione di sponda</t>
  </si>
  <si>
    <t>Orlo di scarpata di origine tettonica</t>
  </si>
  <si>
    <t>Incisione a fondo piatto (braided)</t>
  </si>
  <si>
    <t>Tratto alveo pensile</t>
  </si>
  <si>
    <t>Fondovalli montani e intermorenici</t>
  </si>
  <si>
    <t>Terrazzi antichi</t>
  </si>
  <si>
    <t>Piane glaciali e retroglaciali</t>
  </si>
  <si>
    <t>Rilievi alpini al bordo della pianura - Piano basale</t>
  </si>
  <si>
    <t>Terrazzi fluviali</t>
  </si>
  <si>
    <t>Piane intermoreniche</t>
  </si>
  <si>
    <t>Cordoni morenici intermedi</t>
  </si>
  <si>
    <t>Cordoni morenici antichi</t>
  </si>
  <si>
    <t>Cordoni morenici recenti</t>
  </si>
  <si>
    <t>Pianure alluvionali attuali e recenti</t>
  </si>
  <si>
    <t>Rilievi alpini al bordo della pianura - Piano culminale</t>
  </si>
  <si>
    <t>Terrazzi intermedi</t>
  </si>
  <si>
    <t>Rilievi isolati nella pianura</t>
  </si>
  <si>
    <t>Alta pianura</t>
  </si>
  <si>
    <t>Bassa pianura a meandri</t>
  </si>
  <si>
    <t>Media pianura idromorfa</t>
  </si>
  <si>
    <t>Rilievi appenninici al bordo dalla pinura - Piano basale</t>
  </si>
  <si>
    <t>WIZ_U32WG_VS_SIT_BASI_SOTTOAMB</t>
  </si>
  <si>
    <t>WIZ_U32WG_VS_SIT_IDRO_FONTAN</t>
  </si>
  <si>
    <t>fontanili</t>
  </si>
  <si>
    <t>WIZ_U32WG_VS_SIT_IDRO_ARGINI</t>
  </si>
  <si>
    <t>Argine maestro</t>
  </si>
  <si>
    <t>Argine golenale</t>
  </si>
  <si>
    <t>Argine di sponda</t>
  </si>
  <si>
    <t>Altri tipi di argini</t>
  </si>
  <si>
    <t>rockglacier</t>
  </si>
  <si>
    <t>VS_GHIACCIAI_2007</t>
  </si>
  <si>
    <t>ghiacciaio</t>
  </si>
  <si>
    <t>WIZ_U32WG_VS_SIRVAL_VA_AGGS</t>
  </si>
  <si>
    <t>Zone pericolose</t>
  </si>
  <si>
    <t>Valanghe</t>
  </si>
  <si>
    <t>Possibili continuazioni e collegamenti di valanghe</t>
  </si>
  <si>
    <t>Zone presunte pericolose</t>
  </si>
  <si>
    <t>gneiss granitici e granodioritici, gneiss migmatici</t>
  </si>
  <si>
    <t>Detriti di falda e frane</t>
  </si>
  <si>
    <t>ghiaie, blocchi, limi</t>
  </si>
  <si>
    <t>prasiniti</t>
  </si>
  <si>
    <t>filladi e micascisti filladici</t>
  </si>
  <si>
    <t>andesiti con daciti, basalti e rioliti</t>
  </si>
  <si>
    <t>quarziti</t>
  </si>
  <si>
    <t>paragneiss a due miche, talora a sillimanite ove distinte</t>
  </si>
  <si>
    <t>pegmatiti</t>
  </si>
  <si>
    <t>anfiboliti</t>
  </si>
  <si>
    <t>marmi dolomitici e calcarei, carniole</t>
  </si>
  <si>
    <t>marmi (''calcari cristallini'' Auct.)</t>
  </si>
  <si>
    <t>pegmatiti e apliti</t>
  </si>
  <si>
    <t>quarzodioriti e tonaliti</t>
  </si>
  <si>
    <t>graniti e granodioriti</t>
  </si>
  <si>
    <t>oficarbonati</t>
  </si>
  <si>
    <t>paragneiss a due miche</t>
  </si>
  <si>
    <t>serpentiniti</t>
  </si>
  <si>
    <t>dolomie e calcari cristallini, carniole</t>
  </si>
  <si>
    <t>Calcescisti non ofiolitiferi e quarzoscisti manganesiferi</t>
  </si>
  <si>
    <t>micascisti argentei</t>
  </si>
  <si>
    <t>metabasalti oceanici talora con pillow</t>
  </si>
  <si>
    <t>porfiroidi</t>
  </si>
  <si>
    <t>dioriti e gabbri</t>
  </si>
  <si>
    <t>ghiaie, sabbie e limi</t>
  </si>
  <si>
    <t>filladi e micascisti filladici ''filladi quarzifere'' Auct.</t>
  </si>
  <si>
    <t>paragneiss a due miche talora a sillimanite ove distinte</t>
  </si>
  <si>
    <t>peridotiti talora serpentinizzate</t>
  </si>
  <si>
    <t>calcescisti s.l., quarzoscisti (event. a Fe e Mn),   marmi</t>
  </si>
  <si>
    <t>arenarie</t>
  </si>
  <si>
    <t>conglomerati e arenarie talora con porfidi alla base</t>
  </si>
  <si>
    <t>rioliti + o - alcal., daciti e subord. trachiti e latiti</t>
  </si>
  <si>
    <t>gruppo della ''Dolomia principale''</t>
  </si>
  <si>
    <t>dolomie</t>
  </si>
  <si>
    <t>calcari e calc. marn. selc./dolomie brecce dol. argilliti</t>
  </si>
  <si>
    <t>calcari bituminosi marne argille/calcari</t>
  </si>
  <si>
    <t>dolomie tal. arenacee, argilliti, gessi-dolomie/carniole</t>
  </si>
  <si>
    <t>calcari</t>
  </si>
  <si>
    <t>quarziti in masse</t>
  </si>
  <si>
    <t>conglomerati, arenarie</t>
  </si>
  <si>
    <t>arenarie, marne, siltiti, argilliti, calcari; siderite</t>
  </si>
  <si>
    <t>selci marne calcari</t>
  </si>
  <si>
    <t>paragneiss</t>
  </si>
  <si>
    <t>conglomerati</t>
  </si>
  <si>
    <t>arenarie, siltiti, argilliti</t>
  </si>
  <si>
    <t>gneiss granitici e granodioritici,tal. occhiadini; porfiroid</t>
  </si>
  <si>
    <t>micascisti prevalenti</t>
  </si>
  <si>
    <t>carniole</t>
  </si>
  <si>
    <t>ghiaie, bolcchi e limi</t>
  </si>
  <si>
    <t>marne, aren., calc., argil./calc. sel., aren., marne, dol. s</t>
  </si>
  <si>
    <t>calcari e calcari dolomitici</t>
  </si>
  <si>
    <t>marne, calcari marnosi/''calcari selciferi lombardi''</t>
  </si>
  <si>
    <t>argilliti</t>
  </si>
  <si>
    <t>argille e limi</t>
  </si>
  <si>
    <t>argilliti, marne, calcari, carniole</t>
  </si>
  <si>
    <t>argilliti / calcari</t>
  </si>
  <si>
    <t>andesiti</t>
  </si>
  <si>
    <t>dolomie, calcari</t>
  </si>
  <si>
    <t>calcari, marne, arenarie, argilliti</t>
  </si>
  <si>
    <t>conglomerati, sabbie, argille</t>
  </si>
  <si>
    <t>ghiaie, sabbie e argille ferrettizzate</t>
  </si>
  <si>
    <t>marne</t>
  </si>
  <si>
    <t>dolomie calcareo-marnose, calcari dolomitici</t>
  </si>
  <si>
    <t>ghiaie, sabbie</t>
  </si>
  <si>
    <t>calcari e calcari marnosi selciferi, marne</t>
  </si>
  <si>
    <t>granofiri</t>
  </si>
  <si>
    <t>torba</t>
  </si>
  <si>
    <t>calcari, dolomie</t>
  </si>
  <si>
    <t>conglomerati, arenarie, marne</t>
  </si>
  <si>
    <t>argille e sabbie</t>
  </si>
  <si>
    <t>arenarie, marne, conglomerati</t>
  </si>
  <si>
    <t>marne, calcari marn. calcari selcif. arenarie tufi basal.</t>
  </si>
  <si>
    <t>ghiaie, limi e argille fortemente ferrettizzati</t>
  </si>
  <si>
    <t>ghiaie, blocchi e limi ferrettizzati</t>
  </si>
  <si>
    <t>ghiaie, limi e rari blocchi fortemente ferrettizati</t>
  </si>
  <si>
    <t>Calcari nummulitici</t>
  </si>
  <si>
    <t>arenarie, argille, calcari</t>
  </si>
  <si>
    <t>calcari marne / marne</t>
  </si>
  <si>
    <t>conglomerati, sabbie e argille</t>
  </si>
  <si>
    <t>conglomerati, arenarie,marne</t>
  </si>
  <si>
    <t>calcari, brecce, sabbie, marne</t>
  </si>
  <si>
    <t>Fmz. di Val Luretta</t>
  </si>
  <si>
    <t>argille, marne e calcari</t>
  </si>
  <si>
    <t>assoc. caotica di orig. tettonica delle fmz. 88,89,90,92,93</t>
  </si>
  <si>
    <t>marne sabbiose, sabbie, arenarie, conglomerati</t>
  </si>
  <si>
    <t>unità non ben definita compren. litologie delle fmz. 88 e 90</t>
  </si>
  <si>
    <t>marne gessifere, gessi, calcari, argille</t>
  </si>
  <si>
    <t>argille</t>
  </si>
  <si>
    <t>alternanze di  calcari marnosi, marne, arenarie, argille</t>
  </si>
  <si>
    <t>alter. di argil. e calc. con inglob. C.a Calpionelle, diaspr</t>
  </si>
  <si>
    <t>arenarie, argille, marne</t>
  </si>
  <si>
    <t>calcari, calcari marnosi, marne, argille</t>
  </si>
  <si>
    <t>argille, calcari, conglomerati</t>
  </si>
  <si>
    <t>scisti bituminosi</t>
  </si>
  <si>
    <t>calcari, dolomie, argille</t>
  </si>
  <si>
    <t>WIZ_U32WG_VS_SIT_GEO_250K</t>
  </si>
  <si>
    <t>DISLOCAZIONI PROBABI</t>
  </si>
  <si>
    <t>DISLOCAZIONI PRINCIP</t>
  </si>
  <si>
    <t>SOVRASCORRIMENTI</t>
  </si>
  <si>
    <t>WIZ_U32WG_VS_SIT_GEO_250K_F</t>
  </si>
  <si>
    <t>WIZ_U32WG_CT10_UTM_TL_MSTR_TR_IDR</t>
  </si>
  <si>
    <t>Bacini idrici naturali</t>
  </si>
  <si>
    <t>Bacini idrici artificiali</t>
  </si>
  <si>
    <t>Alvei fluviali e corsi d'acqua artificiali</t>
  </si>
  <si>
    <t>aree_fluviali_e_bacini</t>
  </si>
  <si>
    <t>Bacini idrici da attività estrattive interessanti la falda</t>
  </si>
  <si>
    <t>cave_e_discariche</t>
  </si>
  <si>
    <t>cave</t>
  </si>
  <si>
    <t>discariche</t>
  </si>
  <si>
    <t>WIZ_U32WG_VS_DUSAF4</t>
  </si>
  <si>
    <t>praterie naturali d'alta quota assenza di specie arboree ed arbustive</t>
  </si>
  <si>
    <t>Boschi di conifere a densit?á bassa</t>
  </si>
  <si>
    <t>cespuglieti</t>
  </si>
  <si>
    <t>vegetazione rada</t>
  </si>
  <si>
    <t>Accumuli detritici e affioramenti litoidi privi di vegetazione</t>
  </si>
  <si>
    <t>Insediamenti industriali, artigianali, commerciali</t>
  </si>
  <si>
    <t>praterie naturali d'alta quota con presenza di specie arboree ed arbustive sparse</t>
  </si>
  <si>
    <t>prati permanenti con presenza di specie arboree ed arbustive sparse</t>
  </si>
  <si>
    <t>Boschi conifere a densit?á media e alta</t>
  </si>
  <si>
    <t>prati permanenti in assenza di specie arboree ed arbustive</t>
  </si>
  <si>
    <t>Tessuto residenziale rado e nucleiforme</t>
  </si>
  <si>
    <t>Tessuto residenziale sparso</t>
  </si>
  <si>
    <t>spiagge, dune ed alvei ghiaiosi</t>
  </si>
  <si>
    <t>Impianti sportivi</t>
  </si>
  <si>
    <t>aree degradate non utilizzate e non vegetate</t>
  </si>
  <si>
    <t>imboschimenti recenti</t>
  </si>
  <si>
    <t>Impianti tecnologici</t>
  </si>
  <si>
    <t>boschi di latifoglie a densit?á bassa</t>
  </si>
  <si>
    <t>boschi misti a densit?á media e alta</t>
  </si>
  <si>
    <t>cespuglieti con presenza significativa di specie arbustive alte ed arboree</t>
  </si>
  <si>
    <t>vegetazione dei greti</t>
  </si>
  <si>
    <t>Reti stradali e spazi accessori</t>
  </si>
  <si>
    <t>Tessuto residenziale discontinuo</t>
  </si>
  <si>
    <t>Campeggi e strutture turistiche e ricettive</t>
  </si>
  <si>
    <t>Cascine</t>
  </si>
  <si>
    <t>Cantieri</t>
  </si>
  <si>
    <t>Cimiteri</t>
  </si>
  <si>
    <t>ghiacciai e nevi perenni</t>
  </si>
  <si>
    <t>tessuto residenziale continuo mediamente denso</t>
  </si>
  <si>
    <t>cespuglieti in aree di agricole abbandonate</t>
  </si>
  <si>
    <t>Impianti di servizi pubblici e privati</t>
  </si>
  <si>
    <t>formazioni ripariali</t>
  </si>
  <si>
    <t>seminativi semplici</t>
  </si>
  <si>
    <t>Insediamenti produttivi agricoli</t>
  </si>
  <si>
    <t>Aeroporti ed eliporti</t>
  </si>
  <si>
    <t>Parchi e giardini</t>
  </si>
  <si>
    <t>vegetazione delle aree umide interne e delle torbiere</t>
  </si>
  <si>
    <t>boschi di latifoglie a densit?á media e alta</t>
  </si>
  <si>
    <t>boschi misti a densit?á bassa</t>
  </si>
  <si>
    <t>castagneti da frutto</t>
  </si>
  <si>
    <t>Insediamenti ospedalieri</t>
  </si>
  <si>
    <t>seminativi arborati</t>
  </si>
  <si>
    <t>vigneti</t>
  </si>
  <si>
    <t>frutteti e frutti minori</t>
  </si>
  <si>
    <t>Reti ferroviarie e spazi accessori</t>
  </si>
  <si>
    <t>Aree verdi incolte</t>
  </si>
  <si>
    <t>orti familiari</t>
  </si>
  <si>
    <t>Colture orticole a pieno campo</t>
  </si>
  <si>
    <t>Impianti fotovoltaici a terra</t>
  </si>
  <si>
    <t>altre legnose agrarie</t>
  </si>
  <si>
    <t>Colture orticole protette.</t>
  </si>
  <si>
    <t>Bacini idrici da attivit?? estrattive interessanti la falda</t>
  </si>
  <si>
    <t>Colture floro-vivaistiche protette</t>
  </si>
  <si>
    <t>pioppeti</t>
  </si>
  <si>
    <t>tessuto residenziale denso</t>
  </si>
  <si>
    <t>vegetazione degli argini sopraelevati</t>
  </si>
  <si>
    <t>Aree portuali</t>
  </si>
  <si>
    <t>oliveti</t>
  </si>
  <si>
    <t>Colture floro-vivaistiche a pieno campo</t>
  </si>
  <si>
    <t>Parchi divertimento</t>
  </si>
  <si>
    <t>Aree archeologiche</t>
  </si>
  <si>
    <t>aree militari obliterate</t>
  </si>
  <si>
    <t>risaie</t>
  </si>
  <si>
    <t>marcite</t>
  </si>
  <si>
    <t>vegetazione_degli_argini_sopraelevati</t>
  </si>
  <si>
    <t>fr_aree</t>
  </si>
  <si>
    <t>fr_co</t>
  </si>
  <si>
    <t>fr_dgpv</t>
  </si>
  <si>
    <t>fr_iffi</t>
  </si>
  <si>
    <t>fr_li</t>
  </si>
  <si>
    <t>fr_po</t>
  </si>
  <si>
    <t>gradonata viva</t>
  </si>
  <si>
    <t>palificata viva</t>
  </si>
  <si>
    <t>briglia di trattenuta</t>
  </si>
  <si>
    <t>viminata e palizzata viva</t>
  </si>
  <si>
    <t>terrazzamento/gradonatura</t>
  </si>
  <si>
    <t>selciatone</t>
  </si>
  <si>
    <t>argine</t>
  </si>
  <si>
    <t>canale artificiale</t>
  </si>
  <si>
    <t>briglia filtrante</t>
  </si>
  <si>
    <t>scogliera</t>
  </si>
  <si>
    <t>soglia</t>
  </si>
  <si>
    <t>vasca di espansione</t>
  </si>
  <si>
    <t>tombotto</t>
  </si>
  <si>
    <t>muro di terrazzamento</t>
  </si>
  <si>
    <t>muratura</t>
  </si>
  <si>
    <t>movimento terra</t>
  </si>
  <si>
    <t>risagomatura alveo</t>
  </si>
  <si>
    <t>rilevato paramassi</t>
  </si>
  <si>
    <t>rete</t>
  </si>
  <si>
    <t>ancoraggio-tiranti</t>
  </si>
  <si>
    <t>imbracatura</t>
  </si>
  <si>
    <t>impermeabilizzazione</t>
  </si>
  <si>
    <t>vallo/rilevato</t>
  </si>
  <si>
    <t>terra armata/rinforzata</t>
  </si>
  <si>
    <t>diga</t>
  </si>
  <si>
    <t>ponte da neve</t>
  </si>
  <si>
    <t>disgaggio</t>
  </si>
  <si>
    <t>mira topografica</t>
  </si>
  <si>
    <t>inerbimento</t>
  </si>
  <si>
    <t>svaso</t>
  </si>
  <si>
    <t>tombinatura</t>
  </si>
  <si>
    <t>grata viva</t>
  </si>
  <si>
    <t>drenaggio superficiale</t>
  </si>
  <si>
    <t>cunettone</t>
  </si>
  <si>
    <t>fascinata viva</t>
  </si>
  <si>
    <t>ombrello da neve</t>
  </si>
  <si>
    <t>drenaggio profondo</t>
  </si>
  <si>
    <t>gabbionata</t>
  </si>
  <si>
    <t>rivestimento antierosivo sintetico</t>
  </si>
  <si>
    <t>muro</t>
  </si>
  <si>
    <t>vasca di accumulo</t>
  </si>
  <si>
    <t>rete paramassi</t>
  </si>
  <si>
    <t>rilevato/vallo paramassi</t>
  </si>
  <si>
    <t>piantumazione</t>
  </si>
  <si>
    <t>canaletta</t>
  </si>
  <si>
    <t>rivestimento antierosivo biodegradabile</t>
  </si>
  <si>
    <t>rimboschimento</t>
  </si>
  <si>
    <t>demolizione</t>
  </si>
  <si>
    <t>svaso/pulizia alveo</t>
  </si>
  <si>
    <t>cassa/vasca d'espansione</t>
  </si>
  <si>
    <t>dreni sub-orizzontali</t>
  </si>
  <si>
    <t>galleria</t>
  </si>
  <si>
    <t>rete da neve</t>
  </si>
  <si>
    <t>frangivento</t>
  </si>
  <si>
    <t>ponte</t>
  </si>
  <si>
    <t>ancoraggio/tiranti</t>
  </si>
  <si>
    <t>barriera a funi parallele</t>
  </si>
  <si>
    <t>scoronamento</t>
  </si>
  <si>
    <t>trincea drenante</t>
  </si>
  <si>
    <t>disboscamento</t>
  </si>
  <si>
    <t>briglia</t>
  </si>
  <si>
    <t>barriera</t>
  </si>
  <si>
    <t>pali</t>
  </si>
  <si>
    <t>cuneo filtrante</t>
  </si>
  <si>
    <t>cordonata</t>
  </si>
  <si>
    <t>terrazzamenti/gradonature</t>
  </si>
  <si>
    <t>reticolo micropali</t>
  </si>
  <si>
    <t>piezometro</t>
  </si>
  <si>
    <t>drenaggio sub-orizzontale</t>
  </si>
  <si>
    <t>speroni drenanti</t>
  </si>
  <si>
    <t>cassa d'espansione</t>
  </si>
  <si>
    <t>sondaggio geognostico</t>
  </si>
  <si>
    <t>rastrelliera</t>
  </si>
  <si>
    <t>galleria paramassi</t>
  </si>
  <si>
    <t>sottomurazione</t>
  </si>
  <si>
    <t>drenaggio</t>
  </si>
  <si>
    <t>muro/argine</t>
  </si>
  <si>
    <t>iniezione/jet grouting</t>
  </si>
  <si>
    <t>vallo/rilevato caduta massi</t>
  </si>
  <si>
    <t>muro in cemento armato</t>
  </si>
  <si>
    <t>muro cellulare</t>
  </si>
  <si>
    <t>opera di presa/restituzione</t>
  </si>
  <si>
    <t>spritz beton</t>
  </si>
  <si>
    <t>terrapieno</t>
  </si>
  <si>
    <t>pozzo drenante</t>
  </si>
  <si>
    <t>pennello</t>
  </si>
  <si>
    <t>trincea paramassi</t>
  </si>
  <si>
    <t>muro a secco</t>
  </si>
  <si>
    <t>rete elastoplastica</t>
  </si>
  <si>
    <t>termometro</t>
  </si>
  <si>
    <t>indagine elettrica</t>
  </si>
  <si>
    <t>ODS_TOT_aree</t>
  </si>
  <si>
    <t>ODS_TOT_linee</t>
  </si>
  <si>
    <t>idrometro</t>
  </si>
  <si>
    <t>galleria drenante</t>
  </si>
  <si>
    <t>pennello/repellente</t>
  </si>
  <si>
    <t>pluvionivometro</t>
  </si>
  <si>
    <t>pluviometro</t>
  </si>
  <si>
    <t>distometro</t>
  </si>
  <si>
    <t>estensimetro</t>
  </si>
  <si>
    <t>stazione GPS</t>
  </si>
  <si>
    <t>barriera rigida</t>
  </si>
  <si>
    <t>barriera elastoplastica</t>
  </si>
  <si>
    <t>inclinometro</t>
  </si>
  <si>
    <t>cumuli di terra</t>
  </si>
  <si>
    <t>paratia</t>
  </si>
  <si>
    <t>repellente</t>
  </si>
  <si>
    <t>indagine sismica</t>
  </si>
  <si>
    <t>paratia di sostegno</t>
  </si>
  <si>
    <t>ODS_TOT_punti</t>
  </si>
  <si>
    <t>OPERE_FIUMI_PG</t>
  </si>
  <si>
    <t>traversa</t>
  </si>
  <si>
    <t>OPERE_FIUMI_PL</t>
  </si>
  <si>
    <t>GL10</t>
  </si>
  <si>
    <t>CA15</t>
  </si>
  <si>
    <t>FD30</t>
  </si>
  <si>
    <t>FD08</t>
  </si>
  <si>
    <t>GR23</t>
  </si>
  <si>
    <t>FD17</t>
  </si>
  <si>
    <t>FD40</t>
  </si>
  <si>
    <t>GL23</t>
  </si>
  <si>
    <t>FD31</t>
  </si>
  <si>
    <t>AN05</t>
  </si>
  <si>
    <t>AN02</t>
  </si>
  <si>
    <t>AN04</t>
  </si>
  <si>
    <t>FD06</t>
  </si>
  <si>
    <t>GR14</t>
  </si>
  <si>
    <t>GR36</t>
  </si>
  <si>
    <t>GR04</t>
  </si>
  <si>
    <t>FD02</t>
  </si>
  <si>
    <t>PN20</t>
  </si>
  <si>
    <t>FD36</t>
  </si>
  <si>
    <t>GL13</t>
  </si>
  <si>
    <t>GL29</t>
  </si>
  <si>
    <t>PN24</t>
  </si>
  <si>
    <t>FD01</t>
  </si>
  <si>
    <t>CA25</t>
  </si>
  <si>
    <t>FD07</t>
  </si>
  <si>
    <t>CA40</t>
  </si>
  <si>
    <t>FD18</t>
  </si>
  <si>
    <t>GN18</t>
  </si>
  <si>
    <t>AN01</t>
  </si>
  <si>
    <t>GR01</t>
  </si>
  <si>
    <t>FD23</t>
  </si>
  <si>
    <t>LS02</t>
  </si>
  <si>
    <t>GL08</t>
  </si>
  <si>
    <t>FD54</t>
  </si>
  <si>
    <t>GL22</t>
  </si>
  <si>
    <t>GL02</t>
  </si>
  <si>
    <t>FD32</t>
  </si>
  <si>
    <t>FD11</t>
  </si>
  <si>
    <t>FD14</t>
  </si>
  <si>
    <t>FD27</t>
  </si>
  <si>
    <t>FD20</t>
  </si>
  <si>
    <t>FD45</t>
  </si>
  <si>
    <t>FD13</t>
  </si>
  <si>
    <t>TE02</t>
  </si>
  <si>
    <t>FD39</t>
  </si>
  <si>
    <t>PN07</t>
  </si>
  <si>
    <t>PN28</t>
  </si>
  <si>
    <t>AN20</t>
  </si>
  <si>
    <t>AN38</t>
  </si>
  <si>
    <t>0 (non determinato)</t>
  </si>
  <si>
    <t>1 (crollo ribaltamento)</t>
  </si>
  <si>
    <t>2 (scivolamento rotazionale traslativo)</t>
  </si>
  <si>
    <t>GR20</t>
  </si>
  <si>
    <t>GR22</t>
  </si>
  <si>
    <t>3 (espansione)</t>
  </si>
  <si>
    <t>GR40</t>
  </si>
  <si>
    <t>4 (colamento lento)</t>
  </si>
  <si>
    <t>GR21</t>
  </si>
  <si>
    <t>5 (colamento rapido)</t>
  </si>
  <si>
    <t>6 (sprofondamento)</t>
  </si>
  <si>
    <t>GR44</t>
  </si>
  <si>
    <t>7 (corpo di frana complesso)</t>
  </si>
  <si>
    <t>8 (DGPV)</t>
  </si>
  <si>
    <t>GR38</t>
  </si>
  <si>
    <t>9 (aree soggette a crolli e ribaltamenti diffusi)</t>
  </si>
  <si>
    <t>10 (Aree soggette a sprofondamenti diffusi)</t>
  </si>
  <si>
    <t>11 (Aree soggette a frane superficiali diffuse)</t>
  </si>
  <si>
    <t>99 (conoide misto)</t>
  </si>
  <si>
    <t>FD42</t>
  </si>
  <si>
    <t>GN05</t>
  </si>
  <si>
    <t>AN25</t>
  </si>
  <si>
    <t>AN21</t>
  </si>
  <si>
    <t>AN24</t>
  </si>
  <si>
    <t>AN26</t>
  </si>
  <si>
    <t>AN29</t>
  </si>
  <si>
    <t>Scarpata di scavo</t>
  </si>
  <si>
    <t>Cava/miniera a cielo aperto</t>
  </si>
  <si>
    <t>Ingresso di cava/miniera sotterraneo</t>
  </si>
  <si>
    <t>Area di discarica</t>
  </si>
  <si>
    <t>Invaso artificiale</t>
  </si>
  <si>
    <t>Argine artificiale</t>
  </si>
  <si>
    <t>Canale artificiale / corso d’acqua incanalato artificialmente</t>
  </si>
  <si>
    <t>Diga/briglia</t>
  </si>
  <si>
    <t>Cassa di espansione delle piene</t>
  </si>
  <si>
    <t>CA01</t>
  </si>
  <si>
    <t>Campo di doline</t>
  </si>
  <si>
    <t>Superficie con microforme carsiche diffuse</t>
  </si>
  <si>
    <t>Ingresso di grotta</t>
  </si>
  <si>
    <t>Sorgente carsica intermittente</t>
  </si>
  <si>
    <t>picco</t>
  </si>
  <si>
    <t>superficie a ruscellamento diffuso</t>
  </si>
  <si>
    <t>superficie a pieramidi di terra</t>
  </si>
  <si>
    <t>superficie a calanti/biancane/gully</t>
  </si>
  <si>
    <t>marmitta di evorsione fluviale</t>
  </si>
  <si>
    <t>gomito di cattura</t>
  </si>
  <si>
    <t>scarpata di erosione fluviale</t>
  </si>
  <si>
    <t>Taglio di meandro</t>
  </si>
  <si>
    <t>traccia di corso d'acqua estinto</t>
  </si>
  <si>
    <t>Traccia di scaricatore fluviale estinto</t>
  </si>
  <si>
    <t>Alveo fluviale</t>
  </si>
  <si>
    <t>Superficie di terrazzo</t>
  </si>
  <si>
    <t>Conoide alluvionale</t>
  </si>
  <si>
    <t>Conoide misto, da processi fluviali e debris flows</t>
  </si>
  <si>
    <t>Dosso fluviale</t>
  </si>
  <si>
    <t>fascia di divagazione storica</t>
  </si>
  <si>
    <t>Limite di nevaio permanente/ semipermanente</t>
  </si>
  <si>
    <t>Mulino (inghiottitoio)</t>
  </si>
  <si>
    <t>Cresta rocciosa affilata per esarazione glaciale o a lama</t>
  </si>
  <si>
    <t>Scarpata di erosione glaciale e/o di spalla glaciale</t>
  </si>
  <si>
    <t>Superficie rocciosa di modellamento glaciale</t>
  </si>
  <si>
    <t>Roccia montonata</t>
  </si>
  <si>
    <t>Cresta di argine morenico</t>
  </si>
  <si>
    <t>Argine morenico (morena deposta)</t>
  </si>
  <si>
    <t>Superficie a massi erratici; masso erratico</t>
  </si>
  <si>
    <t>Contropendenza</t>
  </si>
  <si>
    <t>Parete interessata da crolli e ribaltamenti</t>
  </si>
  <si>
    <t>Corpo di frana per scorrimento traslativo</t>
  </si>
  <si>
    <t>Corpo di frana per colamento lento di terra/fango</t>
  </si>
  <si>
    <t>Corpo di frana per crollo/ribaltamento</t>
  </si>
  <si>
    <t>Corpo di frana indifferenziato</t>
  </si>
  <si>
    <t>Area interessata da reptazione</t>
  </si>
  <si>
    <t>Deformazione gravitativa profonda di versante</t>
  </si>
  <si>
    <t>Espansione laterale</t>
  </si>
  <si>
    <t>Depressione chiusa</t>
  </si>
  <si>
    <t>Scarpata di linea di faglia</t>
  </si>
  <si>
    <t>Scarpata di faglia</t>
  </si>
  <si>
    <t>rock glacier</t>
  </si>
  <si>
    <t>Superficie a cuscinetti erbosi</t>
  </si>
  <si>
    <t>Limite massimo raggiungto da valanghe</t>
  </si>
  <si>
    <t>Ingresso/uscita di corso d’acqua tombinato</t>
  </si>
  <si>
    <t>AN23</t>
  </si>
  <si>
    <t>LS16</t>
  </si>
  <si>
    <t>Versante o ripiano strutturale</t>
  </si>
  <si>
    <t>Nicchia di sorgente/Testata di risorgiva</t>
  </si>
  <si>
    <t>FD05</t>
  </si>
  <si>
    <t>Layer</t>
  </si>
  <si>
    <t>Harmonisated nomenclature</t>
  </si>
  <si>
    <t>Acronimous Q13</t>
  </si>
  <si>
    <t>Data type</t>
  </si>
  <si>
    <t>GEOMORPHOLOGICAL DATA</t>
  </si>
  <si>
    <t>LAND USE</t>
  </si>
  <si>
    <t>OTHER DATA</t>
  </si>
  <si>
    <t>LITHOLOGY</t>
  </si>
  <si>
    <t xml:space="preserve">Values present in the original dataset </t>
  </si>
  <si>
    <t>basi_ambientali_pianura</t>
  </si>
  <si>
    <t>Opere_Difesa_Suolo</t>
  </si>
  <si>
    <t>altri_dati</t>
  </si>
  <si>
    <t>dissesti_IFFI</t>
  </si>
  <si>
    <t>DUSAF</t>
  </si>
  <si>
    <t>Conteggio</t>
  </si>
  <si>
    <t>Geomorphological (G) or not (N)</t>
  </si>
  <si>
    <t>galleria paravalanghe</t>
  </si>
  <si>
    <t>deflettore/acceleratore</t>
  </si>
  <si>
    <t>N. geometries</t>
  </si>
  <si>
    <t>Concatenato</t>
  </si>
  <si>
    <t>Concatena</t>
  </si>
  <si>
    <t>n. of successfully harmonised nomenclature</t>
  </si>
  <si>
    <t>n. unique value in the project</t>
  </si>
  <si>
    <t xml:space="preserve">n.unique value not geomorphological </t>
  </si>
  <si>
    <t>G(%)</t>
  </si>
  <si>
    <t>scogliera foranea</t>
  </si>
  <si>
    <t>all geometies in the dataset</t>
  </si>
  <si>
    <t>harmonised geometries</t>
  </si>
  <si>
    <t>geometries not releated with geomorphology</t>
  </si>
  <si>
    <t>GR11</t>
  </si>
  <si>
    <t>Canale di colamento rapido di detrito</t>
  </si>
  <si>
    <t>Harmonisation</t>
  </si>
  <si>
    <t>D</t>
  </si>
  <si>
    <t>F4</t>
  </si>
  <si>
    <t>AN30</t>
  </si>
  <si>
    <t>F2</t>
  </si>
  <si>
    <t>F3</t>
  </si>
  <si>
    <t>Scarpata principale rotazionale/traslativo</t>
  </si>
  <si>
    <t>Nicchia/Cuneo di distacco di crollo/ribaltamento</t>
  </si>
  <si>
    <t>GR15</t>
  </si>
  <si>
    <t>F1</t>
  </si>
  <si>
    <t xml:space="preserve">F1 </t>
  </si>
  <si>
    <t>Direct correspondence with Q13 (D)</t>
  </si>
  <si>
    <t>Lexical variation (e.g., singular/plural) (F1)</t>
  </si>
  <si>
    <t>Geomorphological feature not represented in Q13 (F4)</t>
  </si>
  <si>
    <t>Indirect correspondence (hyperonym → hyponym) (F3)</t>
  </si>
  <si>
    <t>Lack of correspondence within Q13 (F2)</t>
  </si>
  <si>
    <t>Not geomorfological features (NGMF)</t>
  </si>
  <si>
    <t>NGMF</t>
  </si>
  <si>
    <t>Sinkhole</t>
  </si>
  <si>
    <t>AG06</t>
  </si>
  <si>
    <t>FD</t>
  </si>
  <si>
    <t>AN</t>
  </si>
  <si>
    <t>PN</t>
  </si>
  <si>
    <t>GR</t>
  </si>
  <si>
    <t>AG</t>
  </si>
  <si>
    <t>GL</t>
  </si>
  <si>
    <t>CA</t>
  </si>
  <si>
    <t>LS</t>
  </si>
  <si>
    <t>TE</t>
  </si>
  <si>
    <t>GN</t>
  </si>
  <si>
    <t>N</t>
  </si>
  <si>
    <t>OT</t>
  </si>
  <si>
    <t>Q13 morphogenetic process</t>
  </si>
  <si>
    <t>Q13 Morphogenetic processes</t>
  </si>
  <si>
    <t>Forme lito-strutturali</t>
  </si>
  <si>
    <t>Forme tettoniche</t>
  </si>
  <si>
    <t>Forme vulcaniche</t>
  </si>
  <si>
    <t>Forme gravotative</t>
  </si>
  <si>
    <t>Forme fluviali, fluvioglaciali, dovute al dilavamento</t>
  </si>
  <si>
    <t>Forme carsiche</t>
  </si>
  <si>
    <t>Elementi del glavialismo e della nivazione attuali</t>
  </si>
  <si>
    <t>Forme glaciali</t>
  </si>
  <si>
    <t>Forme periglaciali e nivali</t>
  </si>
  <si>
    <t>Forme costiere</t>
  </si>
  <si>
    <t>Forme eoliche</t>
  </si>
  <si>
    <t>Forme di altra genesi</t>
  </si>
  <si>
    <t>Forme antropiche</t>
  </si>
  <si>
    <t>Acronymus</t>
  </si>
  <si>
    <t>VU</t>
  </si>
  <si>
    <t>CO</t>
  </si>
  <si>
    <t>EO</t>
  </si>
  <si>
    <t>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</si>
</sst>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/>
    <xf numFmtId="49" fontId="0" fillId="0" borderId="0" xfId="0" applyNumberForma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6"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BA3BF-7813-4C76-BA41-CA945EAB8D37}" name="Tabella3" displayName="Tabella3" ref="A1:E637" totalsRowShown="0" headerRowDxfId="2">
  <autoFilter ref="A1:E637" xr:uid="{941BA3BF-7813-4C76-BA41-CA945EAB8D37}"/>
  <sortState xmlns:xlrd2="http://schemas.microsoft.com/office/spreadsheetml/2017/richdata2" ref="A305:E335">
    <sortCondition ref="C1:C637"/>
  </sortState>
  <tableColumns count="5">
    <tableColumn id="1" xr3:uid="{64B136CC-8BD7-4C88-893E-A1F18F5A2B73}" name="Dataset" dataDxfId="1"/>
    <tableColumn id="2" xr3:uid="{6D079385-8249-4575-949A-B09BD8B83ED9}" name="layer"/>
    <tableColumn id="3" xr3:uid="{69DBDEC9-FB39-4335-B26E-04DF5F95F3F8}" name="Valori unici nelle tabelle degli attributi"/>
    <tableColumn id="5" xr3:uid="{4DE5C813-82E2-4C69-ADB0-60034FF0F0D0}" name="Concatena">
      <calculatedColumnFormula>_xlfn.CONCAT(A2,B2,C2)</calculatedColumnFormula>
    </tableColumn>
    <tableColumn id="4" xr3:uid="{84C6EF8A-2888-4CF1-9FCE-01363F1DC4B6}" name="Contegg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348BB-098B-4672-99C1-D09EC289EC29}" name="Tabella1" displayName="Tabella1" ref="B1:L637" totalsRowShown="0" headerRowDxfId="5">
  <autoFilter ref="B1:L637" xr:uid="{2BBD96DD-B628-4423-BEB3-480DB03B0600}"/>
  <sortState xmlns:xlrd2="http://schemas.microsoft.com/office/spreadsheetml/2017/richdata2" ref="B2:L637">
    <sortCondition ref="I1:I637"/>
  </sortState>
  <tableColumns count="11">
    <tableColumn id="1" xr3:uid="{82B4905F-D675-4B66-9B46-6B7FF51B40F8}" name="Dataset"/>
    <tableColumn id="2" xr3:uid="{E2763947-EDA0-4113-ACE0-CB11D1313F9F}" name="Layer"/>
    <tableColumn id="6" xr3:uid="{9042E1AC-099D-4EDF-AD57-3AA5E2E2FDB8}" name="Data type"/>
    <tableColumn id="7" xr3:uid="{0057EC31-773A-496C-8224-DC008946E263}" name="Geomorphological (G) or not (N)">
      <calculatedColumnFormula>IF(Tabella1[[#This Row],[Data type]]= "GEOMORPHOLOGICAL DATA", "G", "N")</calculatedColumnFormula>
    </tableColumn>
    <tableColumn id="13" xr3:uid="{E6D3D134-6165-4F3F-BEED-92B57C0CD1DC}" name="Q13 morphogenetic process"/>
    <tableColumn id="3" xr3:uid="{76241C23-EA54-47F8-BD5E-40F7547251DC}" name="Values present in the original dataset " dataDxfId="4"/>
    <tableColumn id="4" xr3:uid="{61E680CC-4F10-49C4-B87B-89D69BCF58B4}" name="Harmonisated nomenclature" dataDxfId="3"/>
    <tableColumn id="5" xr3:uid="{D90B9924-0F75-4A39-A7CC-525A6BD99C4C}" name="Acronimous Q13"/>
    <tableColumn id="9" xr3:uid="{EC089F58-7A9D-4138-868A-318DD2B54F28}" name="Concatenato">
      <calculatedColumnFormula>_xlfn.CONCAT(B2,C2,G2)</calculatedColumnFormula>
    </tableColumn>
    <tableColumn id="8" xr3:uid="{C9827203-3AA8-41F5-B372-72A1BC81F498}" name="N. geometries">
      <calculatedColumnFormula>_xlfn.XLOOKUP(Tabella1[[#This Row],[Concatenato]],'Original data'!D:D,'Original data'!E:E)</calculatedColumnFormula>
    </tableColumn>
    <tableColumn id="10" xr3:uid="{F95A09E6-76B8-4758-B2A0-F4451C125E1B}" name="Harmonis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9C602E-0C53-4185-B9D1-04211627D75A}" name="Tabella4" displayName="Tabella4" ref="AA1:AB14" totalsRowShown="0">
  <autoFilter ref="AA1:AB14" xr:uid="{BB9C602E-0C53-4185-B9D1-04211627D75A}"/>
  <tableColumns count="2">
    <tableColumn id="1" xr3:uid="{DAF5B6DE-FB86-4EB2-B160-1E2A7641F6FE}" name="Q13 Morphogenetic processes"/>
    <tableColumn id="2" xr3:uid="{3AEAB89E-845D-493E-BC9C-4CB28B70CD3C}" name="Acronym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7"/>
  <sheetViews>
    <sheetView zoomScale="70" zoomScaleNormal="70" workbookViewId="0">
      <selection activeCell="B4" sqref="B4"/>
    </sheetView>
  </sheetViews>
  <sheetFormatPr defaultRowHeight="14.4" x14ac:dyDescent="0.3"/>
  <cols>
    <col min="1" max="1" width="20" bestFit="1" customWidth="1"/>
    <col min="2" max="2" width="38.6640625" bestFit="1" customWidth="1"/>
    <col min="3" max="3" width="62.44140625" customWidth="1"/>
    <col min="4" max="4" width="85.21875" customWidth="1"/>
    <col min="5" max="5" width="11.77734375" customWidth="1"/>
  </cols>
  <sheetData>
    <row r="1" spans="1:5" s="4" customFormat="1" ht="18" x14ac:dyDescent="0.35">
      <c r="A1" s="4" t="s">
        <v>9</v>
      </c>
      <c r="B1" s="4" t="s">
        <v>10</v>
      </c>
      <c r="C1" s="4" t="s">
        <v>29</v>
      </c>
      <c r="D1" s="4" t="s">
        <v>602</v>
      </c>
      <c r="E1" t="s">
        <v>596</v>
      </c>
    </row>
    <row r="2" spans="1:5" x14ac:dyDescent="0.3">
      <c r="A2" s="5" t="s">
        <v>8</v>
      </c>
      <c r="B2" t="s">
        <v>11</v>
      </c>
      <c r="C2" t="s">
        <v>0</v>
      </c>
      <c r="D2" t="str">
        <f>_xlfn.CONCAT(A2,B2,C2)</f>
        <v>geoambientaliAG_GEO_WGSsuperficie rocciosa ondulata da modellamento glaciale</v>
      </c>
      <c r="E2">
        <v>747</v>
      </c>
    </row>
    <row r="3" spans="1:5" x14ac:dyDescent="0.3">
      <c r="A3" s="5" t="s">
        <v>8</v>
      </c>
      <c r="B3" t="s">
        <v>11</v>
      </c>
      <c r="C3" t="s">
        <v>1</v>
      </c>
      <c r="D3" t="str">
        <f t="shared" ref="D3:D66" si="0">_xlfn.CONCAT(A3,B3,C3)</f>
        <v>geoambientaliAG_GEO_WGSdolina</v>
      </c>
      <c r="E3">
        <v>358</v>
      </c>
    </row>
    <row r="4" spans="1:5" x14ac:dyDescent="0.3">
      <c r="A4" s="5" t="s">
        <v>8</v>
      </c>
      <c r="B4" t="s">
        <v>11</v>
      </c>
      <c r="C4" t="s">
        <v>2</v>
      </c>
      <c r="D4" t="str">
        <f t="shared" si="0"/>
        <v>geoambientaliAG_GEO_WGSambito a forte dimamismo</v>
      </c>
      <c r="E4">
        <v>1259</v>
      </c>
    </row>
    <row r="5" spans="1:5" x14ac:dyDescent="0.3">
      <c r="A5" s="5" t="s">
        <v>8</v>
      </c>
      <c r="B5" t="s">
        <v>11</v>
      </c>
      <c r="C5" t="s">
        <v>3</v>
      </c>
      <c r="D5" t="str">
        <f t="shared" si="0"/>
        <v>geoambientaliAG_GEO_WGSarea interessata da diffusi fenomeni carsici</v>
      </c>
      <c r="E5">
        <v>74</v>
      </c>
    </row>
    <row r="6" spans="1:5" x14ac:dyDescent="0.3">
      <c r="A6" s="5" t="s">
        <v>8</v>
      </c>
      <c r="B6" t="s">
        <v>11</v>
      </c>
      <c r="C6" t="s">
        <v>4</v>
      </c>
      <c r="D6" t="str">
        <f t="shared" si="0"/>
        <v>geoambientaliAG_GEO_WGSalveo abbandonato</v>
      </c>
      <c r="E6">
        <v>76</v>
      </c>
    </row>
    <row r="7" spans="1:5" x14ac:dyDescent="0.3">
      <c r="A7" s="5" t="s">
        <v>8</v>
      </c>
      <c r="B7" t="s">
        <v>11</v>
      </c>
      <c r="C7" t="s">
        <v>5</v>
      </c>
      <c r="D7" t="str">
        <f t="shared" si="0"/>
        <v>geoambientaliAG_GEO_WGSarea calanchiva</v>
      </c>
      <c r="E7">
        <v>85</v>
      </c>
    </row>
    <row r="8" spans="1:5" x14ac:dyDescent="0.3">
      <c r="A8" s="5" t="s">
        <v>8</v>
      </c>
      <c r="B8" t="s">
        <v>11</v>
      </c>
      <c r="C8" t="s">
        <v>6</v>
      </c>
      <c r="D8" t="str">
        <f t="shared" si="0"/>
        <v>geoambientaliAG_GEO_WGSsuperficie strutturale</v>
      </c>
      <c r="E8">
        <v>63</v>
      </c>
    </row>
    <row r="9" spans="1:5" x14ac:dyDescent="0.3">
      <c r="A9" s="5" t="s">
        <v>8</v>
      </c>
      <c r="B9" t="s">
        <v>11</v>
      </c>
      <c r="C9" t="s">
        <v>7</v>
      </c>
      <c r="D9" t="str">
        <f t="shared" si="0"/>
        <v>geoambientaliAG_GEO_WGSarea di frane diffuse</v>
      </c>
      <c r="E9">
        <v>11</v>
      </c>
    </row>
    <row r="10" spans="1:5" x14ac:dyDescent="0.3">
      <c r="A10" s="5" t="s">
        <v>8</v>
      </c>
      <c r="B10" t="s">
        <v>12</v>
      </c>
      <c r="C10" t="s">
        <v>13</v>
      </c>
      <c r="D10" t="str">
        <f t="shared" si="0"/>
        <v>geoambientaliCA_GEO_WGScascata</v>
      </c>
      <c r="E10">
        <v>897</v>
      </c>
    </row>
    <row r="11" spans="1:5" x14ac:dyDescent="0.3">
      <c r="A11" s="5" t="s">
        <v>8</v>
      </c>
      <c r="B11" t="s">
        <v>14</v>
      </c>
      <c r="C11" t="s">
        <v>15</v>
      </c>
      <c r="D11" t="str">
        <f t="shared" si="0"/>
        <v>geoambientaliCO_GEO_WGSconoide di deiezione</v>
      </c>
      <c r="E11">
        <v>3102</v>
      </c>
    </row>
    <row r="12" spans="1:5" x14ac:dyDescent="0.3">
      <c r="A12" s="5" t="s">
        <v>8</v>
      </c>
      <c r="B12" t="s">
        <v>16</v>
      </c>
      <c r="C12" t="s">
        <v>17</v>
      </c>
      <c r="D12" t="str">
        <f t="shared" si="0"/>
        <v>geoambientaliDS_GEO_WGSdeposito</v>
      </c>
      <c r="E12">
        <v>20164</v>
      </c>
    </row>
    <row r="13" spans="1:5" x14ac:dyDescent="0.3">
      <c r="A13" s="5" t="s">
        <v>8</v>
      </c>
      <c r="B13" t="s">
        <v>16</v>
      </c>
      <c r="C13" t="s">
        <v>18</v>
      </c>
      <c r="D13" t="str">
        <f t="shared" si="0"/>
        <v>geoambientaliDS_GEO_WGSdetrito</v>
      </c>
      <c r="E13">
        <v>19102</v>
      </c>
    </row>
    <row r="14" spans="1:5" x14ac:dyDescent="0.3">
      <c r="A14" s="5" t="s">
        <v>8</v>
      </c>
      <c r="B14" t="s">
        <v>16</v>
      </c>
      <c r="C14" t="s">
        <v>19</v>
      </c>
      <c r="D14" t="str">
        <f t="shared" si="0"/>
        <v>geoambientaliDS_GEO_WGSalluvione</v>
      </c>
      <c r="E14">
        <v>2799</v>
      </c>
    </row>
    <row r="15" spans="1:5" x14ac:dyDescent="0.3">
      <c r="A15" s="5" t="s">
        <v>8</v>
      </c>
      <c r="B15" t="s">
        <v>16</v>
      </c>
      <c r="C15" t="s">
        <v>20</v>
      </c>
      <c r="D15" t="str">
        <f t="shared" si="0"/>
        <v>geoambientaliDS_GEO_WGScordone morenico</v>
      </c>
      <c r="E15">
        <v>6615</v>
      </c>
    </row>
    <row r="16" spans="1:5" x14ac:dyDescent="0.3">
      <c r="A16" s="5" t="s">
        <v>8</v>
      </c>
      <c r="B16" t="s">
        <v>23</v>
      </c>
      <c r="C16" t="s">
        <v>21</v>
      </c>
      <c r="D16" t="str">
        <f t="shared" si="0"/>
        <v>geoambientaliEI_GEO_WGSerosione incanalata</v>
      </c>
      <c r="E16">
        <v>18437</v>
      </c>
    </row>
    <row r="17" spans="1:5" x14ac:dyDescent="0.3">
      <c r="A17" s="5" t="s">
        <v>8</v>
      </c>
      <c r="B17" t="s">
        <v>23</v>
      </c>
      <c r="C17" t="s">
        <v>22</v>
      </c>
      <c r="D17" t="str">
        <f t="shared" si="0"/>
        <v>geoambientaliEI_GEO_WGStraccia di scaricatore fluvioglaciale</v>
      </c>
      <c r="E17">
        <v>255</v>
      </c>
    </row>
    <row r="18" spans="1:5" x14ac:dyDescent="0.3">
      <c r="A18" s="5" t="s">
        <v>8</v>
      </c>
      <c r="B18" t="s">
        <v>25</v>
      </c>
      <c r="C18" t="s">
        <v>24</v>
      </c>
      <c r="D18" t="str">
        <f t="shared" si="0"/>
        <v>geoambientaliEP_CTRGEO_WGSminiera</v>
      </c>
      <c r="E18">
        <v>12</v>
      </c>
    </row>
    <row r="19" spans="1:5" x14ac:dyDescent="0.3">
      <c r="A19" s="5" t="s">
        <v>8</v>
      </c>
      <c r="B19" t="s">
        <v>28</v>
      </c>
      <c r="C19" t="s">
        <v>26</v>
      </c>
      <c r="D19" t="str">
        <f t="shared" si="0"/>
        <v>geoambientaliFA_CTRGEO_WGSdiscarica</v>
      </c>
      <c r="E19">
        <v>3235</v>
      </c>
    </row>
    <row r="20" spans="1:5" x14ac:dyDescent="0.3">
      <c r="A20" s="5" t="s">
        <v>8</v>
      </c>
      <c r="B20" t="s">
        <v>28</v>
      </c>
      <c r="C20" t="s">
        <v>27</v>
      </c>
      <c r="D20" t="str">
        <f t="shared" si="0"/>
        <v>geoambientaliFA_CTRGEO_WGScava</v>
      </c>
      <c r="E20">
        <v>313</v>
      </c>
    </row>
    <row r="21" spans="1:5" x14ac:dyDescent="0.3">
      <c r="A21" s="5" t="s">
        <v>8</v>
      </c>
      <c r="B21" t="s">
        <v>28</v>
      </c>
      <c r="C21" t="s">
        <v>24</v>
      </c>
      <c r="D21" t="str">
        <f t="shared" si="0"/>
        <v>geoambientaliFA_CTRGEO_WGSminiera</v>
      </c>
      <c r="E21">
        <v>219</v>
      </c>
    </row>
    <row r="22" spans="1:5" x14ac:dyDescent="0.3">
      <c r="A22" s="5" t="s">
        <v>8</v>
      </c>
      <c r="B22" t="s">
        <v>35</v>
      </c>
      <c r="C22" t="s">
        <v>30</v>
      </c>
      <c r="D22" t="str">
        <f t="shared" si="0"/>
        <v>geoambientaliGD_GEO_WGSfrana non fedelmente cartografabile</v>
      </c>
      <c r="E22">
        <v>8110</v>
      </c>
    </row>
    <row r="23" spans="1:5" x14ac:dyDescent="0.3">
      <c r="A23" s="5" t="s">
        <v>8</v>
      </c>
      <c r="B23" t="s">
        <v>35</v>
      </c>
      <c r="C23" t="s">
        <v>31</v>
      </c>
      <c r="D23" t="str">
        <f t="shared" si="0"/>
        <v>geoambientaliGD_GEO_WGStracce di ruscellamento diffuso</v>
      </c>
      <c r="E23">
        <v>8666</v>
      </c>
    </row>
    <row r="24" spans="1:5" x14ac:dyDescent="0.3">
      <c r="A24" s="5" t="s">
        <v>8</v>
      </c>
      <c r="B24" t="s">
        <v>35</v>
      </c>
      <c r="C24" t="s">
        <v>32</v>
      </c>
      <c r="D24" t="str">
        <f t="shared" si="0"/>
        <v>geoambientaliGD_GEO_WGScrolli</v>
      </c>
      <c r="E24">
        <v>11488</v>
      </c>
    </row>
    <row r="25" spans="1:5" x14ac:dyDescent="0.3">
      <c r="A25" s="5" t="s">
        <v>8</v>
      </c>
      <c r="B25" t="s">
        <v>35</v>
      </c>
      <c r="C25" t="s">
        <v>33</v>
      </c>
      <c r="D25" t="str">
        <f t="shared" si="0"/>
        <v>geoambientaliGD_GEO_WGSsoliflusso e creep</v>
      </c>
      <c r="E25">
        <v>9535</v>
      </c>
    </row>
    <row r="26" spans="1:5" x14ac:dyDescent="0.3">
      <c r="A26" s="5" t="s">
        <v>8</v>
      </c>
      <c r="B26" t="s">
        <v>35</v>
      </c>
      <c r="C26" t="s">
        <v>34</v>
      </c>
      <c r="D26" t="str">
        <f t="shared" si="0"/>
        <v>geoambientaliGD_GEO_WGScontropendenze</v>
      </c>
      <c r="E26">
        <v>2841</v>
      </c>
    </row>
    <row r="27" spans="1:5" x14ac:dyDescent="0.3">
      <c r="A27" s="5" t="s">
        <v>8</v>
      </c>
      <c r="B27" t="s">
        <v>38</v>
      </c>
      <c r="C27" t="s">
        <v>36</v>
      </c>
      <c r="D27" t="str">
        <f t="shared" si="0"/>
        <v>geoambientaliLS_GEO_WGSfaglia</v>
      </c>
      <c r="E27">
        <v>242</v>
      </c>
    </row>
    <row r="28" spans="1:5" x14ac:dyDescent="0.3">
      <c r="A28" s="5" t="s">
        <v>8</v>
      </c>
      <c r="B28" t="s">
        <v>38</v>
      </c>
      <c r="C28" t="s">
        <v>37</v>
      </c>
      <c r="D28" t="str">
        <f t="shared" si="0"/>
        <v>geoambientaliLS_GEO_WGSfrattura principale</v>
      </c>
      <c r="E28">
        <v>86</v>
      </c>
    </row>
    <row r="29" spans="1:5" x14ac:dyDescent="0.3">
      <c r="A29" s="5" t="s">
        <v>8</v>
      </c>
      <c r="B29" t="s">
        <v>41</v>
      </c>
      <c r="C29" t="s">
        <v>39</v>
      </c>
      <c r="D29" t="str">
        <f t="shared" si="0"/>
        <v>geoambientaliMG_GEO_WGScresta</v>
      </c>
      <c r="E29">
        <v>1281</v>
      </c>
    </row>
    <row r="30" spans="1:5" x14ac:dyDescent="0.3">
      <c r="A30" s="5" t="s">
        <v>8</v>
      </c>
      <c r="B30" t="s">
        <v>41</v>
      </c>
      <c r="C30" t="s">
        <v>40</v>
      </c>
      <c r="D30" t="str">
        <f t="shared" si="0"/>
        <v>geoambientaliMG_GEO_WGSnivomorena</v>
      </c>
      <c r="E30">
        <v>66</v>
      </c>
    </row>
    <row r="31" spans="1:5" x14ac:dyDescent="0.3">
      <c r="A31" s="5" t="s">
        <v>8</v>
      </c>
      <c r="B31" t="s">
        <v>45</v>
      </c>
      <c r="C31" t="s">
        <v>42</v>
      </c>
      <c r="D31" t="str">
        <f t="shared" si="0"/>
        <v>geoambientaliPA_GEO_WGSzona paludosa, acquitrinosa o sartumosa</v>
      </c>
      <c r="E31">
        <v>417</v>
      </c>
    </row>
    <row r="32" spans="1:5" x14ac:dyDescent="0.3">
      <c r="A32" s="5" t="s">
        <v>8</v>
      </c>
      <c r="B32" t="s">
        <v>45</v>
      </c>
      <c r="C32" t="s">
        <v>43</v>
      </c>
      <c r="D32" t="str">
        <f t="shared" si="0"/>
        <v>geoambientaliPA_GEO_WGSpiana alluvionale</v>
      </c>
      <c r="E32">
        <v>298</v>
      </c>
    </row>
    <row r="33" spans="1:5" x14ac:dyDescent="0.3">
      <c r="A33" s="5" t="s">
        <v>8</v>
      </c>
      <c r="B33" t="s">
        <v>45</v>
      </c>
      <c r="C33" t="s">
        <v>44</v>
      </c>
      <c r="D33" t="str">
        <f t="shared" si="0"/>
        <v>geoambientaliPA_GEO_WGStratto di alveo sovralluvionato</v>
      </c>
      <c r="E33">
        <v>268</v>
      </c>
    </row>
    <row r="34" spans="1:5" x14ac:dyDescent="0.3">
      <c r="A34" s="5" t="s">
        <v>8</v>
      </c>
      <c r="B34" t="s">
        <v>46</v>
      </c>
      <c r="C34" t="s">
        <v>47</v>
      </c>
      <c r="D34" t="str">
        <f t="shared" si="0"/>
        <v>geoambientaliPG_GEO_WGSrocce montonate</v>
      </c>
      <c r="E34">
        <v>296</v>
      </c>
    </row>
    <row r="35" spans="1:5" x14ac:dyDescent="0.3">
      <c r="A35" s="5" t="s">
        <v>8</v>
      </c>
      <c r="B35" t="s">
        <v>46</v>
      </c>
      <c r="C35" t="s">
        <v>48</v>
      </c>
      <c r="D35" t="str">
        <f t="shared" si="0"/>
        <v>geoambientaliPG_GEO_WGScuscinetti erbosi</v>
      </c>
      <c r="E35">
        <v>52</v>
      </c>
    </row>
    <row r="36" spans="1:5" x14ac:dyDescent="0.3">
      <c r="A36" s="5" t="s">
        <v>8</v>
      </c>
      <c r="B36" t="s">
        <v>46</v>
      </c>
      <c r="C36" t="s">
        <v>49</v>
      </c>
      <c r="D36" t="str">
        <f t="shared" si="0"/>
        <v>geoambientaliPG_GEO_WGSmassi erratici</v>
      </c>
      <c r="E36">
        <v>130</v>
      </c>
    </row>
    <row r="37" spans="1:5" x14ac:dyDescent="0.3">
      <c r="A37" s="5" t="s">
        <v>8</v>
      </c>
      <c r="B37" t="s">
        <v>46</v>
      </c>
      <c r="C37" t="s">
        <v>50</v>
      </c>
      <c r="D37" t="str">
        <f t="shared" si="0"/>
        <v>geoambientaliPG_GEO_WGSpicchi</v>
      </c>
      <c r="E37">
        <v>220</v>
      </c>
    </row>
    <row r="38" spans="1:5" x14ac:dyDescent="0.3">
      <c r="A38" s="5" t="s">
        <v>8</v>
      </c>
      <c r="B38" t="s">
        <v>46</v>
      </c>
      <c r="C38" t="s">
        <v>51</v>
      </c>
      <c r="D38" t="str">
        <f t="shared" si="0"/>
        <v>geoambientaliPG_GEO_WGSgrotte</v>
      </c>
      <c r="E38">
        <v>86</v>
      </c>
    </row>
    <row r="39" spans="1:5" x14ac:dyDescent="0.3">
      <c r="A39" s="5" t="s">
        <v>8</v>
      </c>
      <c r="B39" t="s">
        <v>46</v>
      </c>
      <c r="C39" t="s">
        <v>52</v>
      </c>
      <c r="D39" t="str">
        <f t="shared" si="0"/>
        <v>geoambientaliPG_GEO_WGSpiramidi di terra</v>
      </c>
      <c r="E39">
        <v>3</v>
      </c>
    </row>
    <row r="40" spans="1:5" x14ac:dyDescent="0.3">
      <c r="A40" s="5" t="s">
        <v>8</v>
      </c>
      <c r="B40" t="s">
        <v>46</v>
      </c>
      <c r="C40" t="s">
        <v>53</v>
      </c>
      <c r="D40" t="str">
        <f t="shared" si="0"/>
        <v>geoambientaliPG_GEO_WGSsorgente carsica</v>
      </c>
      <c r="E40">
        <v>8</v>
      </c>
    </row>
    <row r="41" spans="1:5" x14ac:dyDescent="0.3">
      <c r="A41" s="5" t="s">
        <v>8</v>
      </c>
      <c r="B41" t="s">
        <v>46</v>
      </c>
      <c r="C41" t="s">
        <v>54</v>
      </c>
      <c r="D41" t="str">
        <f t="shared" si="0"/>
        <v>geoambientaliPG_GEO_WGSdoline</v>
      </c>
      <c r="E41">
        <v>52</v>
      </c>
    </row>
    <row r="42" spans="1:5" x14ac:dyDescent="0.3">
      <c r="A42" s="5" t="s">
        <v>8</v>
      </c>
      <c r="B42" t="s">
        <v>46</v>
      </c>
      <c r="C42" t="s">
        <v>55</v>
      </c>
      <c r="D42" t="str">
        <f t="shared" si="0"/>
        <v>geoambientaliPG_GEO_WGSmarmitte</v>
      </c>
      <c r="E42">
        <v>26</v>
      </c>
    </row>
    <row r="43" spans="1:5" x14ac:dyDescent="0.3">
      <c r="A43" s="5" t="s">
        <v>8</v>
      </c>
      <c r="B43" t="s">
        <v>46</v>
      </c>
      <c r="C43" t="s">
        <v>56</v>
      </c>
      <c r="D43" t="str">
        <f t="shared" si="0"/>
        <v>geoambientaliPG_GEO_WGSinghiottitoio</v>
      </c>
      <c r="E43">
        <v>31</v>
      </c>
    </row>
    <row r="44" spans="1:5" x14ac:dyDescent="0.3">
      <c r="A44" s="5" t="s">
        <v>8</v>
      </c>
      <c r="B44" t="s">
        <v>57</v>
      </c>
      <c r="C44" t="s">
        <v>58</v>
      </c>
      <c r="D44" t="str">
        <f t="shared" si="0"/>
        <v>geoambientaliSL_GEO_WGSRocce effusive</v>
      </c>
      <c r="E44">
        <v>1752</v>
      </c>
    </row>
    <row r="45" spans="1:5" x14ac:dyDescent="0.3">
      <c r="A45" s="5" t="s">
        <v>8</v>
      </c>
      <c r="B45" t="s">
        <v>57</v>
      </c>
      <c r="C45" t="s">
        <v>59</v>
      </c>
      <c r="D45" t="str">
        <f t="shared" si="0"/>
        <v>geoambientaliSL_GEO_WGSConglomerato</v>
      </c>
      <c r="E45">
        <v>2484</v>
      </c>
    </row>
    <row r="46" spans="1:5" x14ac:dyDescent="0.3">
      <c r="A46" s="5" t="s">
        <v>8</v>
      </c>
      <c r="B46" t="s">
        <v>57</v>
      </c>
      <c r="C46" t="s">
        <v>60</v>
      </c>
      <c r="D46" t="str">
        <f t="shared" si="0"/>
        <v>geoambientaliSL_GEO_WGSArenaria</v>
      </c>
      <c r="E46">
        <v>4399</v>
      </c>
    </row>
    <row r="47" spans="1:5" x14ac:dyDescent="0.3">
      <c r="A47" s="5" t="s">
        <v>8</v>
      </c>
      <c r="B47" t="s">
        <v>57</v>
      </c>
      <c r="C47" t="s">
        <v>61</v>
      </c>
      <c r="D47" t="str">
        <f t="shared" si="0"/>
        <v>geoambientaliSL_GEO_WGSTravertino</v>
      </c>
      <c r="E47">
        <v>48</v>
      </c>
    </row>
    <row r="48" spans="1:5" x14ac:dyDescent="0.3">
      <c r="A48" s="5" t="s">
        <v>8</v>
      </c>
      <c r="B48" t="s">
        <v>57</v>
      </c>
      <c r="C48" t="s">
        <v>62</v>
      </c>
      <c r="D48" t="str">
        <f t="shared" si="0"/>
        <v>geoambientaliSL_GEO_WGSCalcare</v>
      </c>
      <c r="E48">
        <v>16112</v>
      </c>
    </row>
    <row r="49" spans="1:5" x14ac:dyDescent="0.3">
      <c r="A49" s="5" t="s">
        <v>8</v>
      </c>
      <c r="B49" t="s">
        <v>57</v>
      </c>
      <c r="C49" t="s">
        <v>63</v>
      </c>
      <c r="D49" t="str">
        <f t="shared" si="0"/>
        <v>geoambientaliSL_GEO_WGSMicascisti</v>
      </c>
      <c r="E49">
        <v>15594</v>
      </c>
    </row>
    <row r="50" spans="1:5" x14ac:dyDescent="0.3">
      <c r="A50" s="5" t="s">
        <v>8</v>
      </c>
      <c r="B50" t="s">
        <v>57</v>
      </c>
      <c r="C50" t="s">
        <v>64</v>
      </c>
      <c r="D50" t="str">
        <f t="shared" si="0"/>
        <v>geoambientaliSL_GEO_WGSQuarziti</v>
      </c>
      <c r="E50">
        <v>1331</v>
      </c>
    </row>
    <row r="51" spans="1:5" x14ac:dyDescent="0.3">
      <c r="A51" s="5" t="s">
        <v>8</v>
      </c>
      <c r="B51" t="s">
        <v>57</v>
      </c>
      <c r="C51" t="s">
        <v>65</v>
      </c>
      <c r="D51" t="str">
        <f t="shared" si="0"/>
        <v>geoambientaliSL_GEO_WGSMarna e marna calcarea</v>
      </c>
      <c r="E51">
        <v>2084</v>
      </c>
    </row>
    <row r="52" spans="1:5" x14ac:dyDescent="0.3">
      <c r="A52" s="5" t="s">
        <v>8</v>
      </c>
      <c r="B52" t="s">
        <v>57</v>
      </c>
      <c r="C52" t="s">
        <v>66</v>
      </c>
      <c r="D52" t="str">
        <f t="shared" si="0"/>
        <v>geoambientaliSL_GEO_WGSDolomia massiccia o stratificata</v>
      </c>
      <c r="E52">
        <v>10751</v>
      </c>
    </row>
    <row r="53" spans="1:5" x14ac:dyDescent="0.3">
      <c r="A53" s="5" t="s">
        <v>8</v>
      </c>
      <c r="B53" t="s">
        <v>57</v>
      </c>
      <c r="C53" t="s">
        <v>67</v>
      </c>
      <c r="D53" t="str">
        <f t="shared" si="0"/>
        <v>geoambientaliSL_GEO_WGSRoccia sedimentaria silicea</v>
      </c>
      <c r="E53">
        <v>233</v>
      </c>
    </row>
    <row r="54" spans="1:5" x14ac:dyDescent="0.3">
      <c r="A54" s="5" t="s">
        <v>8</v>
      </c>
      <c r="B54" t="s">
        <v>57</v>
      </c>
      <c r="C54" t="s">
        <v>68</v>
      </c>
      <c r="D54" t="str">
        <f t="shared" si="0"/>
        <v>geoambientaliSL_GEO_WGSRocce intrusive</v>
      </c>
      <c r="E54">
        <v>4496</v>
      </c>
    </row>
    <row r="55" spans="1:5" x14ac:dyDescent="0.3">
      <c r="A55" s="5" t="s">
        <v>8</v>
      </c>
      <c r="B55" t="s">
        <v>57</v>
      </c>
      <c r="C55" t="s">
        <v>69</v>
      </c>
      <c r="D55" t="str">
        <f t="shared" si="0"/>
        <v>geoambientaliSL_GEO_WGSRocce metamorfiche carbonatiche</v>
      </c>
      <c r="E55">
        <v>849</v>
      </c>
    </row>
    <row r="56" spans="1:5" x14ac:dyDescent="0.3">
      <c r="A56" s="5" t="s">
        <v>8</v>
      </c>
      <c r="B56" t="s">
        <v>57</v>
      </c>
      <c r="C56" t="s">
        <v>70</v>
      </c>
      <c r="D56" t="str">
        <f t="shared" si="0"/>
        <v>geoambientaliSL_GEO_WGSRocce filoniane</v>
      </c>
      <c r="E56">
        <v>817</v>
      </c>
    </row>
    <row r="57" spans="1:5" x14ac:dyDescent="0.3">
      <c r="A57" s="5" t="s">
        <v>8</v>
      </c>
      <c r="B57" t="s">
        <v>57</v>
      </c>
      <c r="C57" t="s">
        <v>71</v>
      </c>
      <c r="D57" t="str">
        <f t="shared" si="0"/>
        <v>geoambientaliSL_GEO_WGSArgille con marne</v>
      </c>
      <c r="E57">
        <v>325</v>
      </c>
    </row>
    <row r="58" spans="1:5" x14ac:dyDescent="0.3">
      <c r="A58" s="5" t="s">
        <v>8</v>
      </c>
      <c r="B58" t="s">
        <v>57</v>
      </c>
      <c r="C58" t="s">
        <v>72</v>
      </c>
      <c r="D58" t="str">
        <f t="shared" si="0"/>
        <v>geoambientaliSL_GEO_WGSFlysch</v>
      </c>
      <c r="E58">
        <v>368</v>
      </c>
    </row>
    <row r="59" spans="1:5" x14ac:dyDescent="0.3">
      <c r="A59" s="5" t="s">
        <v>8</v>
      </c>
      <c r="B59" t="s">
        <v>57</v>
      </c>
      <c r="C59" t="s">
        <v>73</v>
      </c>
      <c r="D59" t="str">
        <f t="shared" si="0"/>
        <v>geoambientaliSL_GEO_WGSArgilla</v>
      </c>
      <c r="E59">
        <v>1851</v>
      </c>
    </row>
    <row r="60" spans="1:5" x14ac:dyDescent="0.3">
      <c r="A60" s="5" t="s">
        <v>8</v>
      </c>
      <c r="B60" t="s">
        <v>57</v>
      </c>
      <c r="C60" t="s">
        <v>74</v>
      </c>
      <c r="D60" t="str">
        <f t="shared" si="0"/>
        <v>geoambientaliSL_GEO_WGSFilladi e argilloscisti</v>
      </c>
      <c r="E60">
        <v>5006</v>
      </c>
    </row>
    <row r="61" spans="1:5" x14ac:dyDescent="0.3">
      <c r="A61" s="5" t="s">
        <v>8</v>
      </c>
      <c r="B61" t="s">
        <v>57</v>
      </c>
      <c r="C61" t="s">
        <v>75</v>
      </c>
      <c r="D61" t="str">
        <f t="shared" si="0"/>
        <v>geoambientaliSL_GEO_WGSDeposito gessoso e anidritico</v>
      </c>
      <c r="E61">
        <v>112</v>
      </c>
    </row>
    <row r="62" spans="1:5" x14ac:dyDescent="0.3">
      <c r="A62" s="5" t="s">
        <v>8</v>
      </c>
      <c r="B62" t="s">
        <v>57</v>
      </c>
      <c r="C62" t="s">
        <v>76</v>
      </c>
      <c r="D62" t="str">
        <f t="shared" si="0"/>
        <v>geoambientaliSL_GEO_WGSGneiss</v>
      </c>
      <c r="E62">
        <v>18018</v>
      </c>
    </row>
    <row r="63" spans="1:5" x14ac:dyDescent="0.3">
      <c r="A63" s="5" t="s">
        <v>8</v>
      </c>
      <c r="B63" t="s">
        <v>57</v>
      </c>
      <c r="C63" t="s">
        <v>77</v>
      </c>
      <c r="D63" t="str">
        <f t="shared" si="0"/>
        <v>geoambientaliSL_GEO_WGSSerpentiniti e altre rocce metamorfiche</v>
      </c>
      <c r="E63">
        <v>754</v>
      </c>
    </row>
    <row r="64" spans="1:5" x14ac:dyDescent="0.3">
      <c r="A64" s="5" t="s">
        <v>8</v>
      </c>
      <c r="B64" t="s">
        <v>78</v>
      </c>
      <c r="C64" t="s">
        <v>79</v>
      </c>
      <c r="D64" t="str">
        <f t="shared" si="0"/>
        <v>geoambientaliOS_GEP_WGSorlo di scarpata di origine antropica</v>
      </c>
      <c r="E64">
        <v>6401</v>
      </c>
    </row>
    <row r="65" spans="1:5" x14ac:dyDescent="0.3">
      <c r="A65" s="5" t="s">
        <v>8</v>
      </c>
      <c r="B65" t="s">
        <v>78</v>
      </c>
      <c r="C65" t="s">
        <v>80</v>
      </c>
      <c r="D65" t="str">
        <f t="shared" si="0"/>
        <v>geoambientaliOS_GEP_WGSorlo di scarpata di degradazione o frana</v>
      </c>
      <c r="E65">
        <v>5391</v>
      </c>
    </row>
    <row r="66" spans="1:5" x14ac:dyDescent="0.3">
      <c r="A66" s="5" t="s">
        <v>8</v>
      </c>
      <c r="B66" t="s">
        <v>78</v>
      </c>
      <c r="C66" t="s">
        <v>81</v>
      </c>
      <c r="D66" t="str">
        <f t="shared" si="0"/>
        <v>geoambientaliOS_GEP_WGSorlo di scarpata di erosione fluviale</v>
      </c>
      <c r="E66">
        <v>19486</v>
      </c>
    </row>
    <row r="67" spans="1:5" x14ac:dyDescent="0.3">
      <c r="A67" s="5" t="s">
        <v>8</v>
      </c>
      <c r="B67" t="s">
        <v>78</v>
      </c>
      <c r="C67" t="s">
        <v>82</v>
      </c>
      <c r="D67" t="str">
        <f t="shared" ref="D67:D130" si="1">_xlfn.CONCAT(A67,B67,C67)</f>
        <v>geoambientaliOS_GEP_WGSorlo di scarpata modellata da processi morfogenetici concomitanti</v>
      </c>
      <c r="E67">
        <v>8815</v>
      </c>
    </row>
    <row r="68" spans="1:5" x14ac:dyDescent="0.3">
      <c r="A68" s="5" t="s">
        <v>8</v>
      </c>
      <c r="B68" t="s">
        <v>78</v>
      </c>
      <c r="C68" t="s">
        <v>83</v>
      </c>
      <c r="D68" t="str">
        <f t="shared" si="1"/>
        <v>geoambientaliOS_GEP_WGSorlo di scarpata di origine strutturale</v>
      </c>
      <c r="E68">
        <v>1611</v>
      </c>
    </row>
    <row r="69" spans="1:5" x14ac:dyDescent="0.3">
      <c r="A69" s="5" t="s">
        <v>8</v>
      </c>
      <c r="B69" t="s">
        <v>78</v>
      </c>
      <c r="C69" t="s">
        <v>84</v>
      </c>
      <c r="D69" t="str">
        <f t="shared" si="1"/>
        <v>geoambientaliOS_GEP_WGSorlo di scarpata di erosione glaciale</v>
      </c>
      <c r="E69">
        <v>1536</v>
      </c>
    </row>
    <row r="70" spans="1:5" x14ac:dyDescent="0.3">
      <c r="A70" s="5" t="s">
        <v>8</v>
      </c>
      <c r="B70" t="s">
        <v>78</v>
      </c>
      <c r="C70" t="s">
        <v>85</v>
      </c>
      <c r="D70" t="str">
        <f t="shared" si="1"/>
        <v>geoambientaliOS_GEP_WGSorlo di scarpata di cava o miniera a cielo aperto</v>
      </c>
      <c r="E70">
        <v>568</v>
      </c>
    </row>
    <row r="71" spans="1:5" x14ac:dyDescent="0.3">
      <c r="A71" s="5" t="s">
        <v>591</v>
      </c>
      <c r="B71" t="s">
        <v>87</v>
      </c>
      <c r="C71" t="s">
        <v>86</v>
      </c>
      <c r="D71" t="str">
        <f t="shared" si="1"/>
        <v>basi_ambientali_pianuraFASCIA_DIVAGAZIONE_FLUVIALE_1880_1950fascia di divagazione fluviale 1880-1950</v>
      </c>
      <c r="E71">
        <v>696</v>
      </c>
    </row>
    <row r="72" spans="1:5" x14ac:dyDescent="0.3">
      <c r="A72" s="5" t="s">
        <v>591</v>
      </c>
      <c r="B72" t="s">
        <v>89</v>
      </c>
      <c r="C72" t="s">
        <v>88</v>
      </c>
      <c r="D72" t="str">
        <f t="shared" si="1"/>
        <v xml:space="preserve">basi_ambientali_pianuraWIZ_U32WG_VS_SIT_BASI_AREE_PALUaree palustri </v>
      </c>
      <c r="E72">
        <v>68</v>
      </c>
    </row>
    <row r="73" spans="1:5" x14ac:dyDescent="0.3">
      <c r="A73" s="5" t="s">
        <v>591</v>
      </c>
      <c r="B73" t="s">
        <v>90</v>
      </c>
      <c r="C73" t="s">
        <v>91</v>
      </c>
      <c r="D73" t="str">
        <f t="shared" si="1"/>
        <v>basi_ambientali_pianuraWIZ_U32WG_VS_SIT_BASI_ELEESOpiana di esondazione</v>
      </c>
      <c r="E73">
        <v>33</v>
      </c>
    </row>
    <row r="74" spans="1:5" x14ac:dyDescent="0.3">
      <c r="A74" s="5" t="s">
        <v>591</v>
      </c>
      <c r="B74" t="s">
        <v>92</v>
      </c>
      <c r="C74" t="s">
        <v>93</v>
      </c>
      <c r="D74" t="str">
        <f t="shared" si="1"/>
        <v>basi_ambientali_pianuraWIZ_U32WG_VS_SIT_BASI_ELELINpaleoalvei</v>
      </c>
      <c r="E74">
        <v>13796</v>
      </c>
    </row>
    <row r="75" spans="1:5" x14ac:dyDescent="0.3">
      <c r="A75" s="5" t="s">
        <v>591</v>
      </c>
      <c r="B75" t="s">
        <v>92</v>
      </c>
      <c r="C75" t="s">
        <v>94</v>
      </c>
      <c r="D75" t="str">
        <f t="shared" si="1"/>
        <v>basi_ambientali_pianuraWIZ_U32WG_VS_SIT_BASI_ELELINarco o cordone morenico</v>
      </c>
      <c r="E75">
        <v>585</v>
      </c>
    </row>
    <row r="76" spans="1:5" x14ac:dyDescent="0.3">
      <c r="A76" s="5" t="s">
        <v>591</v>
      </c>
      <c r="B76" t="s">
        <v>92</v>
      </c>
      <c r="C76" t="s">
        <v>95</v>
      </c>
      <c r="D76" t="str">
        <f t="shared" si="1"/>
        <v>basi_ambientali_pianuraWIZ_U32WG_VS_SIT_BASI_ELELINorlo di scarpata di degradazione o di frana - non attivo</v>
      </c>
      <c r="E76">
        <v>193</v>
      </c>
    </row>
    <row r="77" spans="1:5" x14ac:dyDescent="0.3">
      <c r="A77" s="5" t="s">
        <v>591</v>
      </c>
      <c r="B77" t="s">
        <v>92</v>
      </c>
      <c r="C77" t="s">
        <v>96</v>
      </c>
      <c r="D77" t="str">
        <f t="shared" si="1"/>
        <v>basi_ambientali_pianuraWIZ_U32WG_VS_SIT_BASI_ELELINscarpata di erosione di scaricatore fluvioglaciale smussato</v>
      </c>
      <c r="E77">
        <v>309</v>
      </c>
    </row>
    <row r="78" spans="1:5" x14ac:dyDescent="0.3">
      <c r="A78" s="5" t="s">
        <v>591</v>
      </c>
      <c r="B78" t="s">
        <v>92</v>
      </c>
      <c r="C78" t="s">
        <v>97</v>
      </c>
      <c r="D78" t="str">
        <f t="shared" si="1"/>
        <v>basi_ambientali_pianuraWIZ_U32WG_VS_SIT_BASI_ELELINorlo di scarpata di degradazione o di frana - attivo</v>
      </c>
      <c r="E78">
        <v>5</v>
      </c>
    </row>
    <row r="79" spans="1:5" x14ac:dyDescent="0.3">
      <c r="A79" s="5" t="s">
        <v>591</v>
      </c>
      <c r="B79" t="s">
        <v>92</v>
      </c>
      <c r="C79" t="s">
        <v>98</v>
      </c>
      <c r="D79" t="str">
        <f t="shared" si="1"/>
        <v>basi_ambientali_pianuraWIZ_U32WG_VS_SIT_BASI_ELELINtracce di scaricatori fluvioglaciali</v>
      </c>
      <c r="E79">
        <v>274</v>
      </c>
    </row>
    <row r="80" spans="1:5" x14ac:dyDescent="0.3">
      <c r="A80" s="5" t="s">
        <v>591</v>
      </c>
      <c r="B80" t="s">
        <v>92</v>
      </c>
      <c r="C80" t="s">
        <v>99</v>
      </c>
      <c r="D80" t="str">
        <f t="shared" si="1"/>
        <v>basi_ambientali_pianuraWIZ_U32WG_VS_SIT_BASI_ELELINorlo di scarpata di degradazione o di frana - quiescente</v>
      </c>
      <c r="E80">
        <v>2</v>
      </c>
    </row>
    <row r="81" spans="1:5" x14ac:dyDescent="0.3">
      <c r="A81" s="5" t="s">
        <v>591</v>
      </c>
      <c r="B81" t="s">
        <v>92</v>
      </c>
      <c r="C81" t="s">
        <v>100</v>
      </c>
      <c r="D81" t="str">
        <f t="shared" si="1"/>
        <v>basi_ambientali_pianuraWIZ_U32WG_VS_SIT_BASI_ELELINcresta rocciosa</v>
      </c>
      <c r="E81">
        <v>70</v>
      </c>
    </row>
    <row r="82" spans="1:5" x14ac:dyDescent="0.3">
      <c r="A82" s="5" t="s">
        <v>591</v>
      </c>
      <c r="B82" t="s">
        <v>92</v>
      </c>
      <c r="C82" t="s">
        <v>101</v>
      </c>
      <c r="D82" t="str">
        <f t="shared" si="1"/>
        <v>basi_ambientali_pianuraWIZ_U32WG_VS_SIT_BASI_ELELINcrinali arrotondati</v>
      </c>
      <c r="E82">
        <v>19</v>
      </c>
    </row>
    <row r="83" spans="1:5" x14ac:dyDescent="0.3">
      <c r="A83" s="5" t="s">
        <v>591</v>
      </c>
      <c r="B83" t="s">
        <v>92</v>
      </c>
      <c r="C83" t="s">
        <v>102</v>
      </c>
      <c r="D83" t="str">
        <f t="shared" si="1"/>
        <v>basi_ambientali_pianuraWIZ_U32WG_VS_SIT_BASI_ELELINscarpata di erosione di scaricatore fluvioglaciale evidente</v>
      </c>
      <c r="E83">
        <v>420</v>
      </c>
    </row>
    <row r="84" spans="1:5" x14ac:dyDescent="0.3">
      <c r="A84" s="5" t="s">
        <v>591</v>
      </c>
      <c r="B84" t="s">
        <v>92</v>
      </c>
      <c r="C84" t="s">
        <v>103</v>
      </c>
      <c r="D84" t="str">
        <f t="shared" si="1"/>
        <v>basi_ambientali_pianuraWIZ_U32WG_VS_SIT_BASI_ELELINOrlo di terrazzo di erosione fluviotorrentizia evidente</v>
      </c>
      <c r="E84">
        <v>2675</v>
      </c>
    </row>
    <row r="85" spans="1:5" x14ac:dyDescent="0.3">
      <c r="A85" s="5" t="s">
        <v>591</v>
      </c>
      <c r="B85" t="s">
        <v>92</v>
      </c>
      <c r="C85" t="s">
        <v>4</v>
      </c>
      <c r="D85" t="str">
        <f t="shared" si="1"/>
        <v>basi_ambientali_pianuraWIZ_U32WG_VS_SIT_BASI_ELELINalveo abbandonato</v>
      </c>
      <c r="E85">
        <v>308</v>
      </c>
    </row>
    <row r="86" spans="1:5" x14ac:dyDescent="0.3">
      <c r="A86" s="5" t="s">
        <v>591</v>
      </c>
      <c r="B86" t="s">
        <v>92</v>
      </c>
      <c r="C86" t="s">
        <v>104</v>
      </c>
      <c r="D86" t="str">
        <f t="shared" si="1"/>
        <v>basi_ambientali_pianuraWIZ_U32WG_VS_SIT_BASI_ELELINalveo torrentizio in erosione o incassato</v>
      </c>
      <c r="E86">
        <v>753</v>
      </c>
    </row>
    <row r="87" spans="1:5" x14ac:dyDescent="0.3">
      <c r="A87" s="5" t="s">
        <v>591</v>
      </c>
      <c r="B87" t="s">
        <v>92</v>
      </c>
      <c r="C87" t="s">
        <v>105</v>
      </c>
      <c r="D87" t="str">
        <f t="shared" si="1"/>
        <v>basi_ambientali_pianuraWIZ_U32WG_VS_SIT_BASI_ELELINsolco di ruscellamento concentrato</v>
      </c>
      <c r="E87">
        <v>371</v>
      </c>
    </row>
    <row r="88" spans="1:5" x14ac:dyDescent="0.3">
      <c r="A88" s="5" t="s">
        <v>591</v>
      </c>
      <c r="B88" t="s">
        <v>92</v>
      </c>
      <c r="C88" t="s">
        <v>106</v>
      </c>
      <c r="D88" t="str">
        <f t="shared" si="1"/>
        <v>basi_ambientali_pianuraWIZ_U32WG_VS_SIT_BASI_ELELINforra</v>
      </c>
      <c r="E88">
        <v>148</v>
      </c>
    </row>
    <row r="89" spans="1:5" x14ac:dyDescent="0.3">
      <c r="A89" s="5" t="s">
        <v>591</v>
      </c>
      <c r="B89" t="s">
        <v>92</v>
      </c>
      <c r="C89" t="s">
        <v>107</v>
      </c>
      <c r="D89" t="str">
        <f t="shared" si="1"/>
        <v>basi_ambientali_pianuraWIZ_U32WG_VS_SIT_BASI_ELELINprocessi di salto di meandro</v>
      </c>
      <c r="E89">
        <v>78</v>
      </c>
    </row>
    <row r="90" spans="1:5" x14ac:dyDescent="0.3">
      <c r="A90" s="5" t="s">
        <v>591</v>
      </c>
      <c r="B90" t="s">
        <v>92</v>
      </c>
      <c r="C90" t="s">
        <v>108</v>
      </c>
      <c r="D90" t="str">
        <f t="shared" si="1"/>
        <v>basi_ambientali_pianuraWIZ_U32WG_VS_SIT_BASI_ELELINorlo di terrazzo di erosione fluviotorrentizia smussato</v>
      </c>
      <c r="E90">
        <v>1887</v>
      </c>
    </row>
    <row r="91" spans="1:5" x14ac:dyDescent="0.3">
      <c r="A91" s="5" t="s">
        <v>591</v>
      </c>
      <c r="B91" t="s">
        <v>92</v>
      </c>
      <c r="C91" t="s">
        <v>109</v>
      </c>
      <c r="D91" t="str">
        <f t="shared" si="1"/>
        <v>basi_ambientali_pianuraWIZ_U32WG_VS_SIT_BASI_ELELINgomiti di cattura fluviale</v>
      </c>
      <c r="E91">
        <v>9</v>
      </c>
    </row>
    <row r="92" spans="1:5" x14ac:dyDescent="0.3">
      <c r="A92" s="5" t="s">
        <v>591</v>
      </c>
      <c r="B92" t="s">
        <v>92</v>
      </c>
      <c r="C92" t="s">
        <v>110</v>
      </c>
      <c r="D92" t="str">
        <f t="shared" si="1"/>
        <v>basi_ambientali_pianuraWIZ_U32WG_VS_SIT_BASI_ELELINDossi fluviali</v>
      </c>
      <c r="E92">
        <v>472</v>
      </c>
    </row>
    <row r="93" spans="1:5" x14ac:dyDescent="0.3">
      <c r="A93" s="5" t="s">
        <v>591</v>
      </c>
      <c r="B93" t="s">
        <v>92</v>
      </c>
      <c r="C93" t="s">
        <v>111</v>
      </c>
      <c r="D93" t="str">
        <f t="shared" si="1"/>
        <v>basi_ambientali_pianuraWIZ_U32WG_VS_SIT_BASI_ELELINFaglia o lineazione presunta o incerta</v>
      </c>
      <c r="E93">
        <v>236</v>
      </c>
    </row>
    <row r="94" spans="1:5" x14ac:dyDescent="0.3">
      <c r="A94" s="5" t="s">
        <v>591</v>
      </c>
      <c r="B94" t="s">
        <v>92</v>
      </c>
      <c r="C94" t="s">
        <v>112</v>
      </c>
      <c r="D94" t="str">
        <f t="shared" si="1"/>
        <v>basi_ambientali_pianuraWIZ_U32WG_VS_SIT_BASI_ELELINTratto di alveo fluviale incassato</v>
      </c>
      <c r="E94">
        <v>49</v>
      </c>
    </row>
    <row r="95" spans="1:5" x14ac:dyDescent="0.3">
      <c r="A95" s="5" t="s">
        <v>591</v>
      </c>
      <c r="B95" t="s">
        <v>92</v>
      </c>
      <c r="C95" t="s">
        <v>113</v>
      </c>
      <c r="D95" t="str">
        <f t="shared" si="1"/>
        <v>basi_ambientali_pianuraWIZ_U32WG_VS_SIT_BASI_ELELINVallecola a V</v>
      </c>
      <c r="E95">
        <v>589</v>
      </c>
    </row>
    <row r="96" spans="1:5" x14ac:dyDescent="0.3">
      <c r="A96" s="5" t="s">
        <v>591</v>
      </c>
      <c r="B96" t="s">
        <v>92</v>
      </c>
      <c r="C96" t="s">
        <v>114</v>
      </c>
      <c r="D96" t="str">
        <f t="shared" si="1"/>
        <v>basi_ambientali_pianuraWIZ_U32WG_VS_SIT_BASI_ELELINIncisione a fondo piatto (meandri)</v>
      </c>
      <c r="E96">
        <v>18</v>
      </c>
    </row>
    <row r="97" spans="1:5" x14ac:dyDescent="0.3">
      <c r="A97" s="5" t="s">
        <v>591</v>
      </c>
      <c r="B97" t="s">
        <v>92</v>
      </c>
      <c r="C97" t="s">
        <v>115</v>
      </c>
      <c r="D97" t="str">
        <f t="shared" si="1"/>
        <v>basi_ambientali_pianuraWIZ_U32WG_VS_SIT_BASI_ELELINFaglia o lineazione</v>
      </c>
      <c r="E97">
        <v>22</v>
      </c>
    </row>
    <row r="98" spans="1:5" x14ac:dyDescent="0.3">
      <c r="A98" s="5" t="s">
        <v>591</v>
      </c>
      <c r="B98" t="s">
        <v>92</v>
      </c>
      <c r="C98" t="s">
        <v>116</v>
      </c>
      <c r="D98" t="str">
        <f t="shared" si="1"/>
        <v>basi_ambientali_pianuraWIZ_U32WG_VS_SIT_BASI_ELELINErosione di sponda</v>
      </c>
      <c r="E98">
        <v>92</v>
      </c>
    </row>
    <row r="99" spans="1:5" x14ac:dyDescent="0.3">
      <c r="A99" s="5" t="s">
        <v>591</v>
      </c>
      <c r="B99" t="s">
        <v>92</v>
      </c>
      <c r="C99" t="s">
        <v>117</v>
      </c>
      <c r="D99" t="str">
        <f t="shared" si="1"/>
        <v>basi_ambientali_pianuraWIZ_U32WG_VS_SIT_BASI_ELELINOrlo di scarpata di origine tettonica</v>
      </c>
      <c r="E99">
        <v>7</v>
      </c>
    </row>
    <row r="100" spans="1:5" x14ac:dyDescent="0.3">
      <c r="A100" s="5" t="s">
        <v>591</v>
      </c>
      <c r="B100" t="s">
        <v>92</v>
      </c>
      <c r="C100" t="s">
        <v>118</v>
      </c>
      <c r="D100" t="str">
        <f t="shared" si="1"/>
        <v>basi_ambientali_pianuraWIZ_U32WG_VS_SIT_BASI_ELELINIncisione a fondo piatto (braided)</v>
      </c>
      <c r="E100">
        <v>9</v>
      </c>
    </row>
    <row r="101" spans="1:5" x14ac:dyDescent="0.3">
      <c r="A101" s="5" t="s">
        <v>591</v>
      </c>
      <c r="B101" t="s">
        <v>92</v>
      </c>
      <c r="C101" t="s">
        <v>119</v>
      </c>
      <c r="D101" t="str">
        <f t="shared" si="1"/>
        <v>basi_ambientali_pianuraWIZ_U32WG_VS_SIT_BASI_ELELINTratto alveo pensile</v>
      </c>
      <c r="E101">
        <v>2</v>
      </c>
    </row>
    <row r="102" spans="1:5" x14ac:dyDescent="0.3">
      <c r="A102" s="5" t="s">
        <v>591</v>
      </c>
      <c r="B102" t="s">
        <v>137</v>
      </c>
      <c r="C102" t="s">
        <v>120</v>
      </c>
      <c r="D102" t="str">
        <f t="shared" si="1"/>
        <v>basi_ambientali_pianuraWIZ_U32WG_VS_SIT_BASI_SOTTOAMBFondovalli montani e intermorenici</v>
      </c>
      <c r="E102">
        <v>99</v>
      </c>
    </row>
    <row r="103" spans="1:5" x14ac:dyDescent="0.3">
      <c r="A103" s="5" t="s">
        <v>591</v>
      </c>
      <c r="B103" t="s">
        <v>137</v>
      </c>
      <c r="C103" t="s">
        <v>121</v>
      </c>
      <c r="D103" t="str">
        <f t="shared" si="1"/>
        <v>basi_ambientali_pianuraWIZ_U32WG_VS_SIT_BASI_SOTTOAMBTerrazzi antichi</v>
      </c>
      <c r="E103">
        <v>75</v>
      </c>
    </row>
    <row r="104" spans="1:5" x14ac:dyDescent="0.3">
      <c r="A104" s="5" t="s">
        <v>591</v>
      </c>
      <c r="B104" t="s">
        <v>137</v>
      </c>
      <c r="C104" t="s">
        <v>122</v>
      </c>
      <c r="D104" t="str">
        <f t="shared" si="1"/>
        <v>basi_ambientali_pianuraWIZ_U32WG_VS_SIT_BASI_SOTTOAMBPiane glaciali e retroglaciali</v>
      </c>
      <c r="E104">
        <v>125</v>
      </c>
    </row>
    <row r="105" spans="1:5" x14ac:dyDescent="0.3">
      <c r="A105" s="5" t="s">
        <v>591</v>
      </c>
      <c r="B105" t="s">
        <v>137</v>
      </c>
      <c r="C105" t="s">
        <v>123</v>
      </c>
      <c r="D105" t="str">
        <f t="shared" si="1"/>
        <v>basi_ambientali_pianuraWIZ_U32WG_VS_SIT_BASI_SOTTOAMBRilievi alpini al bordo della pianura - Piano basale</v>
      </c>
      <c r="E105">
        <v>60</v>
      </c>
    </row>
    <row r="106" spans="1:5" x14ac:dyDescent="0.3">
      <c r="A106" s="5" t="s">
        <v>591</v>
      </c>
      <c r="B106" t="s">
        <v>137</v>
      </c>
      <c r="C106" t="s">
        <v>124</v>
      </c>
      <c r="D106" t="str">
        <f t="shared" si="1"/>
        <v>basi_ambientali_pianuraWIZ_U32WG_VS_SIT_BASI_SOTTOAMBTerrazzi fluviali</v>
      </c>
      <c r="E106">
        <v>273</v>
      </c>
    </row>
    <row r="107" spans="1:5" x14ac:dyDescent="0.3">
      <c r="A107" s="5" t="s">
        <v>591</v>
      </c>
      <c r="B107" t="s">
        <v>137</v>
      </c>
      <c r="C107" t="s">
        <v>125</v>
      </c>
      <c r="D107" t="str">
        <f t="shared" si="1"/>
        <v>basi_ambientali_pianuraWIZ_U32WG_VS_SIT_BASI_SOTTOAMBPiane intermoreniche</v>
      </c>
      <c r="E107">
        <v>183</v>
      </c>
    </row>
    <row r="108" spans="1:5" x14ac:dyDescent="0.3">
      <c r="A108" s="5" t="s">
        <v>591</v>
      </c>
      <c r="B108" t="s">
        <v>137</v>
      </c>
      <c r="C108" t="s">
        <v>126</v>
      </c>
      <c r="D108" t="str">
        <f t="shared" si="1"/>
        <v>basi_ambientali_pianuraWIZ_U32WG_VS_SIT_BASI_SOTTOAMBCordoni morenici intermedi</v>
      </c>
      <c r="E108">
        <v>48</v>
      </c>
    </row>
    <row r="109" spans="1:5" x14ac:dyDescent="0.3">
      <c r="A109" s="5" t="s">
        <v>591</v>
      </c>
      <c r="B109" t="s">
        <v>137</v>
      </c>
      <c r="C109" t="s">
        <v>127</v>
      </c>
      <c r="D109" t="str">
        <f t="shared" si="1"/>
        <v>basi_ambientali_pianuraWIZ_U32WG_VS_SIT_BASI_SOTTOAMBCordoni morenici antichi</v>
      </c>
      <c r="E109">
        <v>33</v>
      </c>
    </row>
    <row r="110" spans="1:5" x14ac:dyDescent="0.3">
      <c r="A110" s="5" t="s">
        <v>591</v>
      </c>
      <c r="B110" t="s">
        <v>137</v>
      </c>
      <c r="C110" t="s">
        <v>128</v>
      </c>
      <c r="D110" t="str">
        <f t="shared" si="1"/>
        <v>basi_ambientali_pianuraWIZ_U32WG_VS_SIT_BASI_SOTTOAMBCordoni morenici recenti</v>
      </c>
      <c r="E110">
        <v>94</v>
      </c>
    </row>
    <row r="111" spans="1:5" x14ac:dyDescent="0.3">
      <c r="A111" s="5" t="s">
        <v>591</v>
      </c>
      <c r="B111" t="s">
        <v>137</v>
      </c>
      <c r="C111" t="s">
        <v>129</v>
      </c>
      <c r="D111" t="str">
        <f t="shared" si="1"/>
        <v>basi_ambientali_pianuraWIZ_U32WG_VS_SIT_BASI_SOTTOAMBPianure alluvionali attuali e recenti</v>
      </c>
      <c r="E111">
        <v>48</v>
      </c>
    </row>
    <row r="112" spans="1:5" x14ac:dyDescent="0.3">
      <c r="A112" s="5" t="s">
        <v>591</v>
      </c>
      <c r="B112" t="s">
        <v>137</v>
      </c>
      <c r="C112" t="s">
        <v>130</v>
      </c>
      <c r="D112" t="str">
        <f t="shared" si="1"/>
        <v>basi_ambientali_pianuraWIZ_U32WG_VS_SIT_BASI_SOTTOAMBRilievi alpini al bordo della pianura - Piano culminale</v>
      </c>
      <c r="E112">
        <v>5</v>
      </c>
    </row>
    <row r="113" spans="1:5" x14ac:dyDescent="0.3">
      <c r="A113" s="5" t="s">
        <v>591</v>
      </c>
      <c r="B113" t="s">
        <v>137</v>
      </c>
      <c r="C113" t="s">
        <v>131</v>
      </c>
      <c r="D113" t="str">
        <f t="shared" si="1"/>
        <v>basi_ambientali_pianuraWIZ_U32WG_VS_SIT_BASI_SOTTOAMBTerrazzi intermedi</v>
      </c>
      <c r="E113">
        <v>57</v>
      </c>
    </row>
    <row r="114" spans="1:5" x14ac:dyDescent="0.3">
      <c r="A114" s="5" t="s">
        <v>591</v>
      </c>
      <c r="B114" t="s">
        <v>137</v>
      </c>
      <c r="C114" t="s">
        <v>132</v>
      </c>
      <c r="D114" t="str">
        <f t="shared" si="1"/>
        <v>basi_ambientali_pianuraWIZ_U32WG_VS_SIT_BASI_SOTTOAMBRilievi isolati nella pianura</v>
      </c>
      <c r="E114">
        <v>17</v>
      </c>
    </row>
    <row r="115" spans="1:5" x14ac:dyDescent="0.3">
      <c r="A115" s="5" t="s">
        <v>591</v>
      </c>
      <c r="B115" t="s">
        <v>137</v>
      </c>
      <c r="C115" t="s">
        <v>133</v>
      </c>
      <c r="D115" t="str">
        <f t="shared" si="1"/>
        <v>basi_ambientali_pianuraWIZ_U32WG_VS_SIT_BASI_SOTTOAMBAlta pianura</v>
      </c>
      <c r="E115">
        <v>33</v>
      </c>
    </row>
    <row r="116" spans="1:5" x14ac:dyDescent="0.3">
      <c r="A116" s="5" t="s">
        <v>591</v>
      </c>
      <c r="B116" t="s">
        <v>137</v>
      </c>
      <c r="C116" t="s">
        <v>134</v>
      </c>
      <c r="D116" t="str">
        <f t="shared" si="1"/>
        <v>basi_ambientali_pianuraWIZ_U32WG_VS_SIT_BASI_SOTTOAMBBassa pianura a meandri</v>
      </c>
      <c r="E116">
        <v>92</v>
      </c>
    </row>
    <row r="117" spans="1:5" x14ac:dyDescent="0.3">
      <c r="A117" s="5" t="s">
        <v>591</v>
      </c>
      <c r="B117" t="s">
        <v>137</v>
      </c>
      <c r="C117" t="s">
        <v>135</v>
      </c>
      <c r="D117" t="str">
        <f t="shared" si="1"/>
        <v>basi_ambientali_pianuraWIZ_U32WG_VS_SIT_BASI_SOTTOAMBMedia pianura idromorfa</v>
      </c>
      <c r="E117">
        <v>16</v>
      </c>
    </row>
    <row r="118" spans="1:5" x14ac:dyDescent="0.3">
      <c r="A118" s="5" t="s">
        <v>591</v>
      </c>
      <c r="B118" t="s">
        <v>137</v>
      </c>
      <c r="C118" t="s">
        <v>136</v>
      </c>
      <c r="D118" t="str">
        <f t="shared" si="1"/>
        <v>basi_ambientali_pianuraWIZ_U32WG_VS_SIT_BASI_SOTTOAMBRilievi appenninici al bordo dalla pinura - Piano basale</v>
      </c>
      <c r="E118">
        <v>4</v>
      </c>
    </row>
    <row r="119" spans="1:5" x14ac:dyDescent="0.3">
      <c r="A119" s="5" t="s">
        <v>591</v>
      </c>
      <c r="B119" t="s">
        <v>138</v>
      </c>
      <c r="C119" s="1" t="s">
        <v>139</v>
      </c>
      <c r="D119" t="str">
        <f t="shared" si="1"/>
        <v>basi_ambientali_pianuraWIZ_U32WG_VS_SIT_IDRO_FONTANfontanili</v>
      </c>
      <c r="E119">
        <v>807</v>
      </c>
    </row>
    <row r="120" spans="1:5" x14ac:dyDescent="0.3">
      <c r="A120" s="5" t="s">
        <v>591</v>
      </c>
      <c r="B120" t="s">
        <v>140</v>
      </c>
      <c r="C120" t="s">
        <v>141</v>
      </c>
      <c r="D120" t="str">
        <f t="shared" si="1"/>
        <v>basi_ambientali_pianuraWIZ_U32WG_VS_SIT_IDRO_ARGINIArgine maestro</v>
      </c>
      <c r="E120">
        <v>1150</v>
      </c>
    </row>
    <row r="121" spans="1:5" x14ac:dyDescent="0.3">
      <c r="A121" s="5" t="s">
        <v>591</v>
      </c>
      <c r="B121" t="s">
        <v>140</v>
      </c>
      <c r="C121" t="s">
        <v>142</v>
      </c>
      <c r="D121" t="str">
        <f t="shared" si="1"/>
        <v>basi_ambientali_pianuraWIZ_U32WG_VS_SIT_IDRO_ARGINIArgine golenale</v>
      </c>
      <c r="E121">
        <v>746</v>
      </c>
    </row>
    <row r="122" spans="1:5" x14ac:dyDescent="0.3">
      <c r="A122" s="5" t="s">
        <v>591</v>
      </c>
      <c r="B122" t="s">
        <v>140</v>
      </c>
      <c r="C122" t="s">
        <v>143</v>
      </c>
      <c r="D122" t="str">
        <f t="shared" si="1"/>
        <v>basi_ambientali_pianuraWIZ_U32WG_VS_SIT_IDRO_ARGINIArgine di sponda</v>
      </c>
      <c r="E122">
        <v>284</v>
      </c>
    </row>
    <row r="123" spans="1:5" x14ac:dyDescent="0.3">
      <c r="A123" s="5" t="s">
        <v>591</v>
      </c>
      <c r="B123" t="s">
        <v>140</v>
      </c>
      <c r="C123" t="s">
        <v>144</v>
      </c>
      <c r="D123" t="str">
        <f t="shared" si="1"/>
        <v>basi_ambientali_pianuraWIZ_U32WG_VS_SIT_IDRO_ARGINIAltri tipi di argini</v>
      </c>
      <c r="E123">
        <v>55</v>
      </c>
    </row>
    <row r="124" spans="1:5" x14ac:dyDescent="0.3">
      <c r="A124" s="5" t="s">
        <v>593</v>
      </c>
      <c r="B124" t="s">
        <v>145</v>
      </c>
      <c r="C124" t="s">
        <v>145</v>
      </c>
      <c r="D124" t="str">
        <f t="shared" si="1"/>
        <v>altri_datirockglacierrockglacier</v>
      </c>
      <c r="E124">
        <v>1742</v>
      </c>
    </row>
    <row r="125" spans="1:5" x14ac:dyDescent="0.3">
      <c r="A125" s="5" t="s">
        <v>593</v>
      </c>
      <c r="B125" t="s">
        <v>146</v>
      </c>
      <c r="C125" s="1" t="s">
        <v>147</v>
      </c>
      <c r="D125" t="str">
        <f t="shared" si="1"/>
        <v>altri_datiVS_GHIACCIAI_2007ghiacciaio</v>
      </c>
      <c r="E125">
        <v>308</v>
      </c>
    </row>
    <row r="126" spans="1:5" x14ac:dyDescent="0.3">
      <c r="A126" s="5" t="s">
        <v>593</v>
      </c>
      <c r="B126" t="s">
        <v>148</v>
      </c>
      <c r="C126" t="s">
        <v>149</v>
      </c>
      <c r="D126" t="str">
        <f t="shared" si="1"/>
        <v>altri_datiWIZ_U32WG_VS_SIRVAL_VA_AGGSZone pericolose</v>
      </c>
      <c r="E126">
        <v>3686</v>
      </c>
    </row>
    <row r="127" spans="1:5" x14ac:dyDescent="0.3">
      <c r="A127" s="5" t="s">
        <v>593</v>
      </c>
      <c r="B127" t="s">
        <v>148</v>
      </c>
      <c r="C127" t="s">
        <v>150</v>
      </c>
      <c r="D127" t="str">
        <f t="shared" si="1"/>
        <v>altri_datiWIZ_U32WG_VS_SIRVAL_VA_AGGSValanghe</v>
      </c>
      <c r="E127">
        <v>4472</v>
      </c>
    </row>
    <row r="128" spans="1:5" x14ac:dyDescent="0.3">
      <c r="A128" s="5" t="s">
        <v>593</v>
      </c>
      <c r="B128" t="s">
        <v>148</v>
      </c>
      <c r="C128" t="s">
        <v>151</v>
      </c>
      <c r="D128" t="str">
        <f t="shared" si="1"/>
        <v>altri_datiWIZ_U32WG_VS_SIRVAL_VA_AGGSPossibili continuazioni e collegamenti di valanghe</v>
      </c>
      <c r="E128">
        <v>91</v>
      </c>
    </row>
    <row r="129" spans="1:5" x14ac:dyDescent="0.3">
      <c r="A129" s="5" t="s">
        <v>593</v>
      </c>
      <c r="B129" t="s">
        <v>148</v>
      </c>
      <c r="C129" t="s">
        <v>152</v>
      </c>
      <c r="D129" t="str">
        <f t="shared" si="1"/>
        <v>altri_datiWIZ_U32WG_VS_SIRVAL_VA_AGGSZone presunte pericolose</v>
      </c>
      <c r="E129">
        <v>5</v>
      </c>
    </row>
    <row r="130" spans="1:5" x14ac:dyDescent="0.3">
      <c r="A130" s="5" t="s">
        <v>593</v>
      </c>
      <c r="B130" t="s">
        <v>248</v>
      </c>
      <c r="C130" t="s">
        <v>153</v>
      </c>
      <c r="D130" t="str">
        <f t="shared" si="1"/>
        <v>altri_datiWIZ_U32WG_VS_SIT_GEO_250Kgneiss granitici e granodioritici, gneiss migmatici</v>
      </c>
      <c r="E130">
        <v>149</v>
      </c>
    </row>
    <row r="131" spans="1:5" x14ac:dyDescent="0.3">
      <c r="A131" s="5" t="s">
        <v>593</v>
      </c>
      <c r="B131" t="s">
        <v>248</v>
      </c>
      <c r="C131" t="s">
        <v>154</v>
      </c>
      <c r="D131" t="str">
        <f t="shared" ref="D131:D194" si="2">_xlfn.CONCAT(A131,B131,C131)</f>
        <v>altri_datiWIZ_U32WG_VS_SIT_GEO_250KDetriti di falda e frane</v>
      </c>
      <c r="E131">
        <v>136</v>
      </c>
    </row>
    <row r="132" spans="1:5" x14ac:dyDescent="0.3">
      <c r="A132" s="5" t="s">
        <v>593</v>
      </c>
      <c r="B132" t="s">
        <v>248</v>
      </c>
      <c r="C132" t="s">
        <v>155</v>
      </c>
      <c r="D132" t="str">
        <f t="shared" si="2"/>
        <v>altri_datiWIZ_U32WG_VS_SIT_GEO_250Kghiaie, blocchi, limi</v>
      </c>
      <c r="E132">
        <v>192</v>
      </c>
    </row>
    <row r="133" spans="1:5" x14ac:dyDescent="0.3">
      <c r="A133" s="5" t="s">
        <v>593</v>
      </c>
      <c r="B133" t="s">
        <v>248</v>
      </c>
      <c r="C133" t="s">
        <v>156</v>
      </c>
      <c r="D133" t="str">
        <f t="shared" si="2"/>
        <v>altri_datiWIZ_U32WG_VS_SIT_GEO_250Kprasiniti</v>
      </c>
      <c r="E133">
        <v>32</v>
      </c>
    </row>
    <row r="134" spans="1:5" x14ac:dyDescent="0.3">
      <c r="A134" s="5" t="s">
        <v>593</v>
      </c>
      <c r="B134" t="s">
        <v>248</v>
      </c>
      <c r="C134" t="s">
        <v>157</v>
      </c>
      <c r="D134" t="str">
        <f t="shared" si="2"/>
        <v>altri_datiWIZ_U32WG_VS_SIT_GEO_250Kfilladi e micascisti filladici</v>
      </c>
      <c r="E134">
        <v>50</v>
      </c>
    </row>
    <row r="135" spans="1:5" x14ac:dyDescent="0.3">
      <c r="A135" s="5" t="s">
        <v>593</v>
      </c>
      <c r="B135" t="s">
        <v>248</v>
      </c>
      <c r="C135" t="s">
        <v>158</v>
      </c>
      <c r="D135" t="str">
        <f t="shared" si="2"/>
        <v>altri_datiWIZ_U32WG_VS_SIT_GEO_250Kandesiti con daciti, basalti e rioliti</v>
      </c>
      <c r="E135">
        <v>227</v>
      </c>
    </row>
    <row r="136" spans="1:5" x14ac:dyDescent="0.3">
      <c r="A136" s="5" t="s">
        <v>593</v>
      </c>
      <c r="B136" t="s">
        <v>248</v>
      </c>
      <c r="C136" t="s">
        <v>159</v>
      </c>
      <c r="D136" t="str">
        <f t="shared" si="2"/>
        <v>altri_datiWIZ_U32WG_VS_SIT_GEO_250Kquarziti</v>
      </c>
      <c r="E136">
        <v>26</v>
      </c>
    </row>
    <row r="137" spans="1:5" x14ac:dyDescent="0.3">
      <c r="A137" s="5" t="s">
        <v>593</v>
      </c>
      <c r="B137" t="s">
        <v>248</v>
      </c>
      <c r="C137" t="s">
        <v>160</v>
      </c>
      <c r="D137" t="str">
        <f t="shared" si="2"/>
        <v>altri_datiWIZ_U32WG_VS_SIT_GEO_250Kparagneiss a due miche, talora a sillimanite ove distinte</v>
      </c>
      <c r="E137">
        <v>93</v>
      </c>
    </row>
    <row r="138" spans="1:5" x14ac:dyDescent="0.3">
      <c r="A138" s="5" t="s">
        <v>593</v>
      </c>
      <c r="B138" t="s">
        <v>248</v>
      </c>
      <c r="C138" t="s">
        <v>161</v>
      </c>
      <c r="D138" t="str">
        <f t="shared" si="2"/>
        <v>altri_datiWIZ_U32WG_VS_SIT_GEO_250Kpegmatiti</v>
      </c>
      <c r="E138">
        <v>51</v>
      </c>
    </row>
    <row r="139" spans="1:5" x14ac:dyDescent="0.3">
      <c r="A139" s="5" t="s">
        <v>593</v>
      </c>
      <c r="B139" t="s">
        <v>248</v>
      </c>
      <c r="C139" t="s">
        <v>162</v>
      </c>
      <c r="D139" t="str">
        <f t="shared" si="2"/>
        <v>altri_datiWIZ_U32WG_VS_SIT_GEO_250Kanfiboliti</v>
      </c>
      <c r="E139">
        <v>118</v>
      </c>
    </row>
    <row r="140" spans="1:5" x14ac:dyDescent="0.3">
      <c r="A140" s="5" t="s">
        <v>593</v>
      </c>
      <c r="B140" t="s">
        <v>248</v>
      </c>
      <c r="C140" t="s">
        <v>163</v>
      </c>
      <c r="D140" t="str">
        <f t="shared" si="2"/>
        <v>altri_datiWIZ_U32WG_VS_SIT_GEO_250Kmarmi dolomitici e calcarei, carniole</v>
      </c>
      <c r="E140">
        <v>47</v>
      </c>
    </row>
    <row r="141" spans="1:5" x14ac:dyDescent="0.3">
      <c r="A141" s="5" t="s">
        <v>593</v>
      </c>
      <c r="B141" t="s">
        <v>248</v>
      </c>
      <c r="C141" t="s">
        <v>164</v>
      </c>
      <c r="D141" t="str">
        <f t="shared" si="2"/>
        <v>altri_datiWIZ_U32WG_VS_SIT_GEO_250Kmarmi (''calcari cristallini'' Auct.)</v>
      </c>
      <c r="E141">
        <v>69</v>
      </c>
    </row>
    <row r="142" spans="1:5" x14ac:dyDescent="0.3">
      <c r="A142" s="5" t="s">
        <v>593</v>
      </c>
      <c r="B142" t="s">
        <v>248</v>
      </c>
      <c r="C142" t="s">
        <v>165</v>
      </c>
      <c r="D142" t="str">
        <f t="shared" si="2"/>
        <v>altri_datiWIZ_U32WG_VS_SIT_GEO_250Kpegmatiti e apliti</v>
      </c>
      <c r="E142">
        <v>15</v>
      </c>
    </row>
    <row r="143" spans="1:5" x14ac:dyDescent="0.3">
      <c r="A143" s="5" t="s">
        <v>593</v>
      </c>
      <c r="B143" t="s">
        <v>248</v>
      </c>
      <c r="C143" t="s">
        <v>166</v>
      </c>
      <c r="D143" t="str">
        <f t="shared" si="2"/>
        <v>altri_datiWIZ_U32WG_VS_SIT_GEO_250Kquarzodioriti e tonaliti</v>
      </c>
      <c r="E143">
        <v>28</v>
      </c>
    </row>
    <row r="144" spans="1:5" x14ac:dyDescent="0.3">
      <c r="A144" s="5" t="s">
        <v>593</v>
      </c>
      <c r="B144" t="s">
        <v>248</v>
      </c>
      <c r="C144" t="s">
        <v>167</v>
      </c>
      <c r="D144" t="str">
        <f t="shared" si="2"/>
        <v>altri_datiWIZ_U32WG_VS_SIT_GEO_250Kgraniti e granodioriti</v>
      </c>
      <c r="E144">
        <v>81</v>
      </c>
    </row>
    <row r="145" spans="1:5" x14ac:dyDescent="0.3">
      <c r="A145" s="5" t="s">
        <v>593</v>
      </c>
      <c r="B145" t="s">
        <v>248</v>
      </c>
      <c r="C145" t="s">
        <v>168</v>
      </c>
      <c r="D145" t="str">
        <f t="shared" si="2"/>
        <v>altri_datiWIZ_U32WG_VS_SIT_GEO_250Koficarbonati</v>
      </c>
      <c r="E145">
        <v>1</v>
      </c>
    </row>
    <row r="146" spans="1:5" x14ac:dyDescent="0.3">
      <c r="A146" s="5" t="s">
        <v>593</v>
      </c>
      <c r="B146" t="s">
        <v>248</v>
      </c>
      <c r="C146" t="s">
        <v>169</v>
      </c>
      <c r="D146" t="str">
        <f t="shared" si="2"/>
        <v>altri_datiWIZ_U32WG_VS_SIT_GEO_250Kparagneiss a due miche</v>
      </c>
      <c r="E146">
        <v>149</v>
      </c>
    </row>
    <row r="147" spans="1:5" x14ac:dyDescent="0.3">
      <c r="A147" s="5" t="s">
        <v>593</v>
      </c>
      <c r="B147" t="s">
        <v>248</v>
      </c>
      <c r="C147" t="s">
        <v>170</v>
      </c>
      <c r="D147" t="str">
        <f t="shared" si="2"/>
        <v>altri_datiWIZ_U32WG_VS_SIT_GEO_250Kserpentiniti</v>
      </c>
      <c r="E147">
        <v>28</v>
      </c>
    </row>
    <row r="148" spans="1:5" x14ac:dyDescent="0.3">
      <c r="A148" s="5" t="s">
        <v>593</v>
      </c>
      <c r="B148" t="s">
        <v>248</v>
      </c>
      <c r="C148" t="s">
        <v>171</v>
      </c>
      <c r="D148" t="str">
        <f t="shared" si="2"/>
        <v>altri_datiWIZ_U32WG_VS_SIT_GEO_250Kdolomie e calcari cristallini, carniole</v>
      </c>
      <c r="E148">
        <v>21</v>
      </c>
    </row>
    <row r="149" spans="1:5" x14ac:dyDescent="0.3">
      <c r="A149" s="5" t="s">
        <v>593</v>
      </c>
      <c r="B149" t="s">
        <v>248</v>
      </c>
      <c r="C149" t="s">
        <v>172</v>
      </c>
      <c r="D149" t="str">
        <f t="shared" si="2"/>
        <v>altri_datiWIZ_U32WG_VS_SIT_GEO_250KCalcescisti non ofiolitiferi e quarzoscisti manganesiferi</v>
      </c>
      <c r="E149">
        <v>17</v>
      </c>
    </row>
    <row r="150" spans="1:5" x14ac:dyDescent="0.3">
      <c r="A150" s="5" t="s">
        <v>593</v>
      </c>
      <c r="B150" t="s">
        <v>248</v>
      </c>
      <c r="C150" t="s">
        <v>173</v>
      </c>
      <c r="D150" t="str">
        <f t="shared" si="2"/>
        <v>altri_datiWIZ_U32WG_VS_SIT_GEO_250Kmicascisti argentei</v>
      </c>
      <c r="E150">
        <v>15</v>
      </c>
    </row>
    <row r="151" spans="1:5" x14ac:dyDescent="0.3">
      <c r="A151" s="5" t="s">
        <v>593</v>
      </c>
      <c r="B151" t="s">
        <v>248</v>
      </c>
      <c r="C151" t="s">
        <v>174</v>
      </c>
      <c r="D151" t="str">
        <f t="shared" si="2"/>
        <v>altri_datiWIZ_U32WG_VS_SIT_GEO_250Kmetabasalti oceanici talora con pillow</v>
      </c>
      <c r="E151">
        <v>13</v>
      </c>
    </row>
    <row r="152" spans="1:5" x14ac:dyDescent="0.3">
      <c r="A152" s="5" t="s">
        <v>593</v>
      </c>
      <c r="B152" t="s">
        <v>248</v>
      </c>
      <c r="C152" t="s">
        <v>175</v>
      </c>
      <c r="D152" t="str">
        <f t="shared" si="2"/>
        <v>altri_datiWIZ_U32WG_VS_SIT_GEO_250Kporfiroidi</v>
      </c>
      <c r="E152">
        <v>18</v>
      </c>
    </row>
    <row r="153" spans="1:5" x14ac:dyDescent="0.3">
      <c r="A153" s="5" t="s">
        <v>593</v>
      </c>
      <c r="B153" t="s">
        <v>248</v>
      </c>
      <c r="C153" t="s">
        <v>176</v>
      </c>
      <c r="D153" t="str">
        <f t="shared" si="2"/>
        <v>altri_datiWIZ_U32WG_VS_SIT_GEO_250Kdioriti e gabbri</v>
      </c>
      <c r="E153">
        <v>77</v>
      </c>
    </row>
    <row r="154" spans="1:5" x14ac:dyDescent="0.3">
      <c r="A154" s="5" t="s">
        <v>593</v>
      </c>
      <c r="B154" t="s">
        <v>248</v>
      </c>
      <c r="C154" t="s">
        <v>177</v>
      </c>
      <c r="D154" t="str">
        <f t="shared" si="2"/>
        <v>altri_datiWIZ_U32WG_VS_SIT_GEO_250Kghiaie, sabbie e limi</v>
      </c>
      <c r="E154">
        <v>182</v>
      </c>
    </row>
    <row r="155" spans="1:5" x14ac:dyDescent="0.3">
      <c r="A155" s="5" t="s">
        <v>593</v>
      </c>
      <c r="B155" t="s">
        <v>248</v>
      </c>
      <c r="C155" t="s">
        <v>178</v>
      </c>
      <c r="D155" t="str">
        <f t="shared" si="2"/>
        <v>altri_datiWIZ_U32WG_VS_SIT_GEO_250Kfilladi e micascisti filladici ''filladi quarzifere'' Auct.</v>
      </c>
      <c r="E155">
        <v>40</v>
      </c>
    </row>
    <row r="156" spans="1:5" x14ac:dyDescent="0.3">
      <c r="A156" s="5" t="s">
        <v>593</v>
      </c>
      <c r="B156" t="s">
        <v>248</v>
      </c>
      <c r="C156" t="s">
        <v>179</v>
      </c>
      <c r="D156" t="str">
        <f t="shared" si="2"/>
        <v>altri_datiWIZ_U32WG_VS_SIT_GEO_250Kparagneiss a due miche talora a sillimanite ove distinte</v>
      </c>
      <c r="E156">
        <v>15</v>
      </c>
    </row>
    <row r="157" spans="1:5" x14ac:dyDescent="0.3">
      <c r="A157" s="5" t="s">
        <v>593</v>
      </c>
      <c r="B157" t="s">
        <v>248</v>
      </c>
      <c r="C157" t="s">
        <v>180</v>
      </c>
      <c r="D157" t="str">
        <f t="shared" si="2"/>
        <v>altri_datiWIZ_U32WG_VS_SIT_GEO_250Kperidotiti talora serpentinizzate</v>
      </c>
      <c r="E157">
        <v>10</v>
      </c>
    </row>
    <row r="158" spans="1:5" x14ac:dyDescent="0.3">
      <c r="A158" s="5" t="s">
        <v>593</v>
      </c>
      <c r="B158" t="s">
        <v>248</v>
      </c>
      <c r="C158" t="s">
        <v>181</v>
      </c>
      <c r="D158" t="str">
        <f t="shared" si="2"/>
        <v>altri_datiWIZ_U32WG_VS_SIT_GEO_250Kcalcescisti s.l., quarzoscisti (event. a Fe e Mn),   marmi</v>
      </c>
      <c r="E158">
        <v>4</v>
      </c>
    </row>
    <row r="159" spans="1:5" x14ac:dyDescent="0.3">
      <c r="A159" s="5" t="s">
        <v>593</v>
      </c>
      <c r="B159" t="s">
        <v>248</v>
      </c>
      <c r="C159" t="s">
        <v>182</v>
      </c>
      <c r="D159" t="str">
        <f t="shared" si="2"/>
        <v>altri_datiWIZ_U32WG_VS_SIT_GEO_250Karenarie</v>
      </c>
      <c r="E159">
        <v>86</v>
      </c>
    </row>
    <row r="160" spans="1:5" x14ac:dyDescent="0.3">
      <c r="A160" s="5" t="s">
        <v>593</v>
      </c>
      <c r="B160" t="s">
        <v>248</v>
      </c>
      <c r="C160" t="s">
        <v>183</v>
      </c>
      <c r="D160" t="str">
        <f t="shared" si="2"/>
        <v>altri_datiWIZ_U32WG_VS_SIT_GEO_250Kconglomerati e arenarie talora con porfidi alla base</v>
      </c>
      <c r="E160">
        <v>12</v>
      </c>
    </row>
    <row r="161" spans="1:5" x14ac:dyDescent="0.3">
      <c r="A161" s="5" t="s">
        <v>593</v>
      </c>
      <c r="B161" t="s">
        <v>248</v>
      </c>
      <c r="C161" t="s">
        <v>184</v>
      </c>
      <c r="D161" t="str">
        <f t="shared" si="2"/>
        <v>altri_datiWIZ_U32WG_VS_SIT_GEO_250Krioliti + o - alcal., daciti e subord. trachiti e latiti</v>
      </c>
      <c r="E161">
        <v>96</v>
      </c>
    </row>
    <row r="162" spans="1:5" x14ac:dyDescent="0.3">
      <c r="A162" s="5" t="s">
        <v>593</v>
      </c>
      <c r="B162" t="s">
        <v>248</v>
      </c>
      <c r="C162" t="s">
        <v>185</v>
      </c>
      <c r="D162" t="str">
        <f t="shared" si="2"/>
        <v>altri_datiWIZ_U32WG_VS_SIT_GEO_250Kgruppo della ''Dolomia principale''</v>
      </c>
      <c r="E162">
        <v>20</v>
      </c>
    </row>
    <row r="163" spans="1:5" x14ac:dyDescent="0.3">
      <c r="A163" s="5" t="s">
        <v>593</v>
      </c>
      <c r="B163" t="s">
        <v>248</v>
      </c>
      <c r="C163" t="s">
        <v>186</v>
      </c>
      <c r="D163" t="str">
        <f t="shared" si="2"/>
        <v>altri_datiWIZ_U32WG_VS_SIT_GEO_250Kdolomie</v>
      </c>
      <c r="E163">
        <v>115</v>
      </c>
    </row>
    <row r="164" spans="1:5" x14ac:dyDescent="0.3">
      <c r="A164" s="5" t="s">
        <v>593</v>
      </c>
      <c r="B164" t="s">
        <v>248</v>
      </c>
      <c r="C164" t="s">
        <v>187</v>
      </c>
      <c r="D164" t="str">
        <f t="shared" si="2"/>
        <v>altri_datiWIZ_U32WG_VS_SIT_GEO_250Kcalcari e calc. marn. selc./dolomie brecce dol. argilliti</v>
      </c>
      <c r="E164">
        <v>5</v>
      </c>
    </row>
    <row r="165" spans="1:5" x14ac:dyDescent="0.3">
      <c r="A165" s="5" t="s">
        <v>593</v>
      </c>
      <c r="B165" t="s">
        <v>248</v>
      </c>
      <c r="C165" t="s">
        <v>188</v>
      </c>
      <c r="D165" t="str">
        <f t="shared" si="2"/>
        <v>altri_datiWIZ_U32WG_VS_SIT_GEO_250Kcalcari bituminosi marne argille/calcari</v>
      </c>
      <c r="E165">
        <v>8</v>
      </c>
    </row>
    <row r="166" spans="1:5" x14ac:dyDescent="0.3">
      <c r="A166" s="5" t="s">
        <v>593</v>
      </c>
      <c r="B166" t="s">
        <v>248</v>
      </c>
      <c r="C166" t="s">
        <v>189</v>
      </c>
      <c r="D166" t="str">
        <f t="shared" si="2"/>
        <v>altri_datiWIZ_U32WG_VS_SIT_GEO_250Kdolomie tal. arenacee, argilliti, gessi-dolomie/carniole</v>
      </c>
      <c r="E166">
        <v>7</v>
      </c>
    </row>
    <row r="167" spans="1:5" x14ac:dyDescent="0.3">
      <c r="A167" s="5" t="s">
        <v>593</v>
      </c>
      <c r="B167" t="s">
        <v>248</v>
      </c>
      <c r="C167" t="s">
        <v>190</v>
      </c>
      <c r="D167" t="str">
        <f t="shared" si="2"/>
        <v>altri_datiWIZ_U32WG_VS_SIT_GEO_250Kcalcari</v>
      </c>
      <c r="E167">
        <v>233</v>
      </c>
    </row>
    <row r="168" spans="1:5" x14ac:dyDescent="0.3">
      <c r="A168" s="5" t="s">
        <v>593</v>
      </c>
      <c r="B168" t="s">
        <v>248</v>
      </c>
      <c r="C168" t="s">
        <v>191</v>
      </c>
      <c r="D168" t="str">
        <f t="shared" si="2"/>
        <v>altri_datiWIZ_U32WG_VS_SIT_GEO_250Kquarziti in masse</v>
      </c>
      <c r="E168">
        <v>13</v>
      </c>
    </row>
    <row r="169" spans="1:5" x14ac:dyDescent="0.3">
      <c r="A169" s="5" t="s">
        <v>593</v>
      </c>
      <c r="B169" t="s">
        <v>248</v>
      </c>
      <c r="C169" t="s">
        <v>192</v>
      </c>
      <c r="D169" t="str">
        <f t="shared" si="2"/>
        <v>altri_datiWIZ_U32WG_VS_SIT_GEO_250Kconglomerati, arenarie</v>
      </c>
      <c r="E169">
        <v>75</v>
      </c>
    </row>
    <row r="170" spans="1:5" x14ac:dyDescent="0.3">
      <c r="A170" s="5" t="s">
        <v>593</v>
      </c>
      <c r="B170" t="s">
        <v>248</v>
      </c>
      <c r="C170" t="s">
        <v>193</v>
      </c>
      <c r="D170" t="str">
        <f t="shared" si="2"/>
        <v>altri_datiWIZ_U32WG_VS_SIT_GEO_250Karenarie, marne, siltiti, argilliti, calcari; siderite</v>
      </c>
      <c r="E170">
        <v>93</v>
      </c>
    </row>
    <row r="171" spans="1:5" x14ac:dyDescent="0.3">
      <c r="A171" s="5" t="s">
        <v>593</v>
      </c>
      <c r="B171" t="s">
        <v>248</v>
      </c>
      <c r="C171" t="s">
        <v>194</v>
      </c>
      <c r="D171" t="str">
        <f t="shared" si="2"/>
        <v>altri_datiWIZ_U32WG_VS_SIT_GEO_250Kselci marne calcari</v>
      </c>
      <c r="E171">
        <v>54</v>
      </c>
    </row>
    <row r="172" spans="1:5" x14ac:dyDescent="0.3">
      <c r="A172" s="5" t="s">
        <v>593</v>
      </c>
      <c r="B172" t="s">
        <v>248</v>
      </c>
      <c r="C172" t="s">
        <v>195</v>
      </c>
      <c r="D172" t="str">
        <f t="shared" si="2"/>
        <v>altri_datiWIZ_U32WG_VS_SIT_GEO_250Kparagneiss</v>
      </c>
      <c r="E172">
        <v>47</v>
      </c>
    </row>
    <row r="173" spans="1:5" x14ac:dyDescent="0.3">
      <c r="A173" s="5" t="s">
        <v>593</v>
      </c>
      <c r="B173" t="s">
        <v>248</v>
      </c>
      <c r="C173" t="s">
        <v>196</v>
      </c>
      <c r="D173" t="str">
        <f t="shared" si="2"/>
        <v>altri_datiWIZ_U32WG_VS_SIT_GEO_250Kconglomerati</v>
      </c>
      <c r="E173">
        <v>46</v>
      </c>
    </row>
    <row r="174" spans="1:5" x14ac:dyDescent="0.3">
      <c r="A174" s="5" t="s">
        <v>593</v>
      </c>
      <c r="B174" t="s">
        <v>248</v>
      </c>
      <c r="C174" t="s">
        <v>197</v>
      </c>
      <c r="D174" t="str">
        <f t="shared" si="2"/>
        <v>altri_datiWIZ_U32WG_VS_SIT_GEO_250Karenarie, siltiti, argilliti</v>
      </c>
      <c r="E174">
        <v>30</v>
      </c>
    </row>
    <row r="175" spans="1:5" x14ac:dyDescent="0.3">
      <c r="A175" s="5" t="s">
        <v>593</v>
      </c>
      <c r="B175" t="s">
        <v>248</v>
      </c>
      <c r="C175" t="s">
        <v>198</v>
      </c>
      <c r="D175" t="str">
        <f t="shared" si="2"/>
        <v>altri_datiWIZ_U32WG_VS_SIT_GEO_250Kgneiss granitici e granodioritici,tal. occhiadini; porfiroid</v>
      </c>
      <c r="E175">
        <v>59</v>
      </c>
    </row>
    <row r="176" spans="1:5" x14ac:dyDescent="0.3">
      <c r="A176" s="5" t="s">
        <v>593</v>
      </c>
      <c r="B176" t="s">
        <v>248</v>
      </c>
      <c r="C176" t="s">
        <v>199</v>
      </c>
      <c r="D176" t="str">
        <f t="shared" si="2"/>
        <v>altri_datiWIZ_U32WG_VS_SIT_GEO_250Kmicascisti prevalenti</v>
      </c>
      <c r="E176">
        <v>12</v>
      </c>
    </row>
    <row r="177" spans="1:5" x14ac:dyDescent="0.3">
      <c r="A177" s="5" t="s">
        <v>593</v>
      </c>
      <c r="B177" t="s">
        <v>248</v>
      </c>
      <c r="C177" t="s">
        <v>200</v>
      </c>
      <c r="D177" t="str">
        <f t="shared" si="2"/>
        <v>altri_datiWIZ_U32WG_VS_SIT_GEO_250Kcarniole</v>
      </c>
      <c r="E177">
        <v>51</v>
      </c>
    </row>
    <row r="178" spans="1:5" x14ac:dyDescent="0.3">
      <c r="A178" s="5" t="s">
        <v>593</v>
      </c>
      <c r="B178" t="s">
        <v>248</v>
      </c>
      <c r="C178" t="s">
        <v>201</v>
      </c>
      <c r="D178" t="str">
        <f t="shared" si="2"/>
        <v>altri_datiWIZ_U32WG_VS_SIT_GEO_250Kghiaie, bolcchi e limi</v>
      </c>
      <c r="E178">
        <v>78</v>
      </c>
    </row>
    <row r="179" spans="1:5" x14ac:dyDescent="0.3">
      <c r="A179" s="5" t="s">
        <v>593</v>
      </c>
      <c r="B179" t="s">
        <v>248</v>
      </c>
      <c r="C179" t="s">
        <v>202</v>
      </c>
      <c r="D179" t="str">
        <f t="shared" si="2"/>
        <v>altri_datiWIZ_U32WG_VS_SIT_GEO_250Kmarne, aren., calc., argil./calc. sel., aren., marne, dol. s</v>
      </c>
      <c r="E179">
        <v>74</v>
      </c>
    </row>
    <row r="180" spans="1:5" x14ac:dyDescent="0.3">
      <c r="A180" s="5" t="s">
        <v>593</v>
      </c>
      <c r="B180" t="s">
        <v>248</v>
      </c>
      <c r="C180" t="s">
        <v>203</v>
      </c>
      <c r="D180" t="str">
        <f t="shared" si="2"/>
        <v>altri_datiWIZ_U32WG_VS_SIT_GEO_250Kcalcari e calcari dolomitici</v>
      </c>
      <c r="E180">
        <v>36</v>
      </c>
    </row>
    <row r="181" spans="1:5" x14ac:dyDescent="0.3">
      <c r="A181" s="5" t="s">
        <v>593</v>
      </c>
      <c r="B181" t="s">
        <v>248</v>
      </c>
      <c r="C181" t="s">
        <v>204</v>
      </c>
      <c r="D181" t="str">
        <f t="shared" si="2"/>
        <v>altri_datiWIZ_U32WG_VS_SIT_GEO_250Kmarne, calcari marnosi/''calcari selciferi lombardi''</v>
      </c>
      <c r="E181">
        <v>69</v>
      </c>
    </row>
    <row r="182" spans="1:5" x14ac:dyDescent="0.3">
      <c r="A182" s="5" t="s">
        <v>593</v>
      </c>
      <c r="B182" t="s">
        <v>248</v>
      </c>
      <c r="C182" t="s">
        <v>205</v>
      </c>
      <c r="D182" t="str">
        <f t="shared" si="2"/>
        <v>altri_datiWIZ_U32WG_VS_SIT_GEO_250Kargilliti</v>
      </c>
      <c r="E182">
        <v>31</v>
      </c>
    </row>
    <row r="183" spans="1:5" x14ac:dyDescent="0.3">
      <c r="A183" s="5" t="s">
        <v>593</v>
      </c>
      <c r="B183" t="s">
        <v>248</v>
      </c>
      <c r="C183" t="s">
        <v>206</v>
      </c>
      <c r="D183" t="str">
        <f t="shared" si="2"/>
        <v>altri_datiWIZ_U32WG_VS_SIT_GEO_250Kargille e limi</v>
      </c>
      <c r="E183">
        <v>38</v>
      </c>
    </row>
    <row r="184" spans="1:5" x14ac:dyDescent="0.3">
      <c r="A184" s="5" t="s">
        <v>593</v>
      </c>
      <c r="B184" t="s">
        <v>248</v>
      </c>
      <c r="C184" t="s">
        <v>207</v>
      </c>
      <c r="D184" t="str">
        <f t="shared" si="2"/>
        <v>altri_datiWIZ_U32WG_VS_SIT_GEO_250Kargilliti, marne, calcari, carniole</v>
      </c>
      <c r="E184">
        <v>51</v>
      </c>
    </row>
    <row r="185" spans="1:5" x14ac:dyDescent="0.3">
      <c r="A185" s="5" t="s">
        <v>593</v>
      </c>
      <c r="B185" t="s">
        <v>248</v>
      </c>
      <c r="C185" t="s">
        <v>208</v>
      </c>
      <c r="D185" t="str">
        <f t="shared" si="2"/>
        <v>altri_datiWIZ_U32WG_VS_SIT_GEO_250Kargilliti / calcari</v>
      </c>
      <c r="E185">
        <v>12</v>
      </c>
    </row>
    <row r="186" spans="1:5" x14ac:dyDescent="0.3">
      <c r="A186" s="5" t="s">
        <v>593</v>
      </c>
      <c r="B186" t="s">
        <v>248</v>
      </c>
      <c r="C186" t="s">
        <v>209</v>
      </c>
      <c r="D186" t="str">
        <f t="shared" si="2"/>
        <v>altri_datiWIZ_U32WG_VS_SIT_GEO_250Kandesiti</v>
      </c>
      <c r="E186">
        <v>14</v>
      </c>
    </row>
    <row r="187" spans="1:5" x14ac:dyDescent="0.3">
      <c r="A187" s="5" t="s">
        <v>593</v>
      </c>
      <c r="B187" t="s">
        <v>248</v>
      </c>
      <c r="C187" t="s">
        <v>210</v>
      </c>
      <c r="D187" t="str">
        <f t="shared" si="2"/>
        <v>altri_datiWIZ_U32WG_VS_SIT_GEO_250Kdolomie, calcari</v>
      </c>
      <c r="E187">
        <v>4</v>
      </c>
    </row>
    <row r="188" spans="1:5" x14ac:dyDescent="0.3">
      <c r="A188" s="5" t="s">
        <v>593</v>
      </c>
      <c r="B188" t="s">
        <v>248</v>
      </c>
      <c r="C188" t="s">
        <v>211</v>
      </c>
      <c r="D188" t="str">
        <f t="shared" si="2"/>
        <v>altri_datiWIZ_U32WG_VS_SIT_GEO_250Kcalcari, marne, arenarie, argilliti</v>
      </c>
      <c r="E188">
        <v>36</v>
      </c>
    </row>
    <row r="189" spans="1:5" x14ac:dyDescent="0.3">
      <c r="A189" s="5" t="s">
        <v>593</v>
      </c>
      <c r="B189" t="s">
        <v>248</v>
      </c>
      <c r="C189" t="s">
        <v>212</v>
      </c>
      <c r="D189" t="str">
        <f t="shared" si="2"/>
        <v>altri_datiWIZ_U32WG_VS_SIT_GEO_250Kconglomerati, sabbie, argille</v>
      </c>
      <c r="E189">
        <v>66</v>
      </c>
    </row>
    <row r="190" spans="1:5" x14ac:dyDescent="0.3">
      <c r="A190" s="5" t="s">
        <v>593</v>
      </c>
      <c r="B190" t="s">
        <v>248</v>
      </c>
      <c r="C190" t="s">
        <v>213</v>
      </c>
      <c r="D190" t="str">
        <f t="shared" si="2"/>
        <v>altri_datiWIZ_U32WG_VS_SIT_GEO_250Kghiaie, sabbie e argille ferrettizzate</v>
      </c>
      <c r="E190">
        <v>107</v>
      </c>
    </row>
    <row r="191" spans="1:5" x14ac:dyDescent="0.3">
      <c r="A191" s="5" t="s">
        <v>593</v>
      </c>
      <c r="B191" t="s">
        <v>248</v>
      </c>
      <c r="C191" t="s">
        <v>214</v>
      </c>
      <c r="D191" t="str">
        <f t="shared" si="2"/>
        <v>altri_datiWIZ_U32WG_VS_SIT_GEO_250Kmarne</v>
      </c>
      <c r="E191">
        <v>60</v>
      </c>
    </row>
    <row r="192" spans="1:5" x14ac:dyDescent="0.3">
      <c r="A192" s="5" t="s">
        <v>593</v>
      </c>
      <c r="B192" t="s">
        <v>248</v>
      </c>
      <c r="C192" t="s">
        <v>215</v>
      </c>
      <c r="D192" t="str">
        <f t="shared" si="2"/>
        <v>altri_datiWIZ_U32WG_VS_SIT_GEO_250Kdolomie calcareo-marnose, calcari dolomitici</v>
      </c>
      <c r="E192">
        <v>7</v>
      </c>
    </row>
    <row r="193" spans="1:5" x14ac:dyDescent="0.3">
      <c r="A193" s="5" t="s">
        <v>593</v>
      </c>
      <c r="B193" t="s">
        <v>248</v>
      </c>
      <c r="C193" t="s">
        <v>216</v>
      </c>
      <c r="D193" t="str">
        <f t="shared" si="2"/>
        <v>altri_datiWIZ_U32WG_VS_SIT_GEO_250Kghiaie, sabbie</v>
      </c>
      <c r="E193">
        <v>93</v>
      </c>
    </row>
    <row r="194" spans="1:5" x14ac:dyDescent="0.3">
      <c r="A194" s="5" t="s">
        <v>593</v>
      </c>
      <c r="B194" t="s">
        <v>248</v>
      </c>
      <c r="C194" t="s">
        <v>217</v>
      </c>
      <c r="D194" t="str">
        <f t="shared" si="2"/>
        <v>altri_datiWIZ_U32WG_VS_SIT_GEO_250Kcalcari e calcari marnosi selciferi, marne</v>
      </c>
      <c r="E194">
        <v>57</v>
      </c>
    </row>
    <row r="195" spans="1:5" x14ac:dyDescent="0.3">
      <c r="A195" s="5" t="s">
        <v>593</v>
      </c>
      <c r="B195" t="s">
        <v>248</v>
      </c>
      <c r="C195" t="s">
        <v>218</v>
      </c>
      <c r="D195" t="str">
        <f t="shared" ref="D195:D258" si="3">_xlfn.CONCAT(A195,B195,C195)</f>
        <v>altri_datiWIZ_U32WG_VS_SIT_GEO_250Kgranofiri</v>
      </c>
      <c r="E195">
        <v>5</v>
      </c>
    </row>
    <row r="196" spans="1:5" x14ac:dyDescent="0.3">
      <c r="A196" s="5" t="s">
        <v>593</v>
      </c>
      <c r="B196" t="s">
        <v>248</v>
      </c>
      <c r="C196" t="s">
        <v>219</v>
      </c>
      <c r="D196" t="str">
        <f t="shared" si="3"/>
        <v>altri_datiWIZ_U32WG_VS_SIT_GEO_250Ktorba</v>
      </c>
      <c r="E196">
        <v>8</v>
      </c>
    </row>
    <row r="197" spans="1:5" x14ac:dyDescent="0.3">
      <c r="A197" s="5" t="s">
        <v>593</v>
      </c>
      <c r="B197" t="s">
        <v>248</v>
      </c>
      <c r="C197" t="s">
        <v>220</v>
      </c>
      <c r="D197" t="str">
        <f t="shared" si="3"/>
        <v>altri_datiWIZ_U32WG_VS_SIT_GEO_250Kcalcari, dolomie</v>
      </c>
      <c r="E197">
        <v>37</v>
      </c>
    </row>
    <row r="198" spans="1:5" x14ac:dyDescent="0.3">
      <c r="A198" s="5" t="s">
        <v>593</v>
      </c>
      <c r="B198" t="s">
        <v>248</v>
      </c>
      <c r="C198" t="s">
        <v>221</v>
      </c>
      <c r="D198" t="str">
        <f t="shared" si="3"/>
        <v>altri_datiWIZ_U32WG_VS_SIT_GEO_250Kconglomerati, arenarie, marne</v>
      </c>
      <c r="E198">
        <v>43</v>
      </c>
    </row>
    <row r="199" spans="1:5" x14ac:dyDescent="0.3">
      <c r="A199" s="5" t="s">
        <v>593</v>
      </c>
      <c r="B199" t="s">
        <v>248</v>
      </c>
      <c r="C199" t="s">
        <v>222</v>
      </c>
      <c r="D199" t="str">
        <f t="shared" si="3"/>
        <v>altri_datiWIZ_U32WG_VS_SIT_GEO_250Kargille e sabbie</v>
      </c>
      <c r="E199">
        <v>4</v>
      </c>
    </row>
    <row r="200" spans="1:5" x14ac:dyDescent="0.3">
      <c r="A200" s="5" t="s">
        <v>593</v>
      </c>
      <c r="B200" t="s">
        <v>248</v>
      </c>
      <c r="C200" t="s">
        <v>223</v>
      </c>
      <c r="D200" t="str">
        <f t="shared" si="3"/>
        <v>altri_datiWIZ_U32WG_VS_SIT_GEO_250Karenarie, marne, conglomerati</v>
      </c>
      <c r="E200">
        <v>14</v>
      </c>
    </row>
    <row r="201" spans="1:5" x14ac:dyDescent="0.3">
      <c r="A201" s="5" t="s">
        <v>593</v>
      </c>
      <c r="B201" t="s">
        <v>248</v>
      </c>
      <c r="C201" t="s">
        <v>224</v>
      </c>
      <c r="D201" t="str">
        <f t="shared" si="3"/>
        <v>altri_datiWIZ_U32WG_VS_SIT_GEO_250Kmarne, calcari marn. calcari selcif. arenarie tufi basal.</v>
      </c>
      <c r="E201">
        <v>51</v>
      </c>
    </row>
    <row r="202" spans="1:5" x14ac:dyDescent="0.3">
      <c r="A202" s="5" t="s">
        <v>593</v>
      </c>
      <c r="B202" t="s">
        <v>248</v>
      </c>
      <c r="C202" t="s">
        <v>225</v>
      </c>
      <c r="D202" t="str">
        <f t="shared" si="3"/>
        <v>altri_datiWIZ_U32WG_VS_SIT_GEO_250Kghiaie, limi e argille fortemente ferrettizzati</v>
      </c>
      <c r="E202">
        <v>56</v>
      </c>
    </row>
    <row r="203" spans="1:5" x14ac:dyDescent="0.3">
      <c r="A203" s="5" t="s">
        <v>593</v>
      </c>
      <c r="B203" t="s">
        <v>248</v>
      </c>
      <c r="C203" t="s">
        <v>226</v>
      </c>
      <c r="D203" t="str">
        <f t="shared" si="3"/>
        <v>altri_datiWIZ_U32WG_VS_SIT_GEO_250Kghiaie, blocchi e limi ferrettizzati</v>
      </c>
      <c r="E203">
        <v>52</v>
      </c>
    </row>
    <row r="204" spans="1:5" x14ac:dyDescent="0.3">
      <c r="A204" s="5" t="s">
        <v>593</v>
      </c>
      <c r="B204" t="s">
        <v>248</v>
      </c>
      <c r="C204" t="s">
        <v>227</v>
      </c>
      <c r="D204" t="str">
        <f t="shared" si="3"/>
        <v>altri_datiWIZ_U32WG_VS_SIT_GEO_250Kghiaie, limi e rari blocchi fortemente ferrettizati</v>
      </c>
      <c r="E204">
        <v>40</v>
      </c>
    </row>
    <row r="205" spans="1:5" x14ac:dyDescent="0.3">
      <c r="A205" s="5" t="s">
        <v>593</v>
      </c>
      <c r="B205" t="s">
        <v>248</v>
      </c>
      <c r="C205" t="s">
        <v>228</v>
      </c>
      <c r="D205" t="str">
        <f t="shared" si="3"/>
        <v>altri_datiWIZ_U32WG_VS_SIT_GEO_250KCalcari nummulitici</v>
      </c>
      <c r="E205">
        <v>4</v>
      </c>
    </row>
    <row r="206" spans="1:5" x14ac:dyDescent="0.3">
      <c r="A206" s="5" t="s">
        <v>593</v>
      </c>
      <c r="B206" t="s">
        <v>248</v>
      </c>
      <c r="C206" t="s">
        <v>229</v>
      </c>
      <c r="D206" t="str">
        <f t="shared" si="3"/>
        <v>altri_datiWIZ_U32WG_VS_SIT_GEO_250Karenarie, argille, calcari</v>
      </c>
      <c r="E206">
        <v>8</v>
      </c>
    </row>
    <row r="207" spans="1:5" x14ac:dyDescent="0.3">
      <c r="A207" s="5" t="s">
        <v>593</v>
      </c>
      <c r="B207" t="s">
        <v>248</v>
      </c>
      <c r="C207" t="s">
        <v>230</v>
      </c>
      <c r="D207" t="str">
        <f t="shared" si="3"/>
        <v>altri_datiWIZ_U32WG_VS_SIT_GEO_250Kcalcari marne / marne</v>
      </c>
      <c r="E207">
        <v>12</v>
      </c>
    </row>
    <row r="208" spans="1:5" x14ac:dyDescent="0.3">
      <c r="A208" s="5" t="s">
        <v>593</v>
      </c>
      <c r="B208" t="s">
        <v>248</v>
      </c>
      <c r="C208" t="s">
        <v>231</v>
      </c>
      <c r="D208" t="str">
        <f t="shared" si="3"/>
        <v>altri_datiWIZ_U32WG_VS_SIT_GEO_250Kconglomerati, sabbie e argille</v>
      </c>
      <c r="E208">
        <v>2</v>
      </c>
    </row>
    <row r="209" spans="1:5" x14ac:dyDescent="0.3">
      <c r="A209" s="5" t="s">
        <v>593</v>
      </c>
      <c r="B209" t="s">
        <v>248</v>
      </c>
      <c r="C209" t="s">
        <v>232</v>
      </c>
      <c r="D209" t="str">
        <f t="shared" si="3"/>
        <v>altri_datiWIZ_U32WG_VS_SIT_GEO_250Kconglomerati, arenarie,marne</v>
      </c>
      <c r="E209">
        <v>2</v>
      </c>
    </row>
    <row r="210" spans="1:5" x14ac:dyDescent="0.3">
      <c r="A210" s="5" t="s">
        <v>593</v>
      </c>
      <c r="B210" t="s">
        <v>248</v>
      </c>
      <c r="C210" t="s">
        <v>233</v>
      </c>
      <c r="D210" t="str">
        <f t="shared" si="3"/>
        <v>altri_datiWIZ_U32WG_VS_SIT_GEO_250Kcalcari, brecce, sabbie, marne</v>
      </c>
      <c r="E210">
        <v>4</v>
      </c>
    </row>
    <row r="211" spans="1:5" x14ac:dyDescent="0.3">
      <c r="A211" s="5" t="s">
        <v>593</v>
      </c>
      <c r="B211" t="s">
        <v>248</v>
      </c>
      <c r="C211" t="s">
        <v>234</v>
      </c>
      <c r="D211" t="str">
        <f t="shared" si="3"/>
        <v>altri_datiWIZ_U32WG_VS_SIT_GEO_250KFmz. di Val Luretta</v>
      </c>
      <c r="E211">
        <v>9</v>
      </c>
    </row>
    <row r="212" spans="1:5" x14ac:dyDescent="0.3">
      <c r="A212" s="5" t="s">
        <v>593</v>
      </c>
      <c r="B212" t="s">
        <v>248</v>
      </c>
      <c r="C212" t="s">
        <v>235</v>
      </c>
      <c r="D212" t="str">
        <f t="shared" si="3"/>
        <v>altri_datiWIZ_U32WG_VS_SIT_GEO_250Kargille, marne e calcari</v>
      </c>
      <c r="E212">
        <v>18</v>
      </c>
    </row>
    <row r="213" spans="1:5" x14ac:dyDescent="0.3">
      <c r="A213" s="5" t="s">
        <v>593</v>
      </c>
      <c r="B213" t="s">
        <v>248</v>
      </c>
      <c r="C213" t="s">
        <v>236</v>
      </c>
      <c r="D213" t="str">
        <f t="shared" si="3"/>
        <v>altri_datiWIZ_U32WG_VS_SIT_GEO_250Kassoc. caotica di orig. tettonica delle fmz. 88,89,90,92,93</v>
      </c>
      <c r="E213">
        <v>19</v>
      </c>
    </row>
    <row r="214" spans="1:5" x14ac:dyDescent="0.3">
      <c r="A214" s="5" t="s">
        <v>593</v>
      </c>
      <c r="B214" t="s">
        <v>248</v>
      </c>
      <c r="C214" t="s">
        <v>237</v>
      </c>
      <c r="D214" t="str">
        <f t="shared" si="3"/>
        <v>altri_datiWIZ_U32WG_VS_SIT_GEO_250Kmarne sabbiose, sabbie, arenarie, conglomerati</v>
      </c>
      <c r="E214">
        <v>2</v>
      </c>
    </row>
    <row r="215" spans="1:5" x14ac:dyDescent="0.3">
      <c r="A215" s="5" t="s">
        <v>593</v>
      </c>
      <c r="B215" t="s">
        <v>248</v>
      </c>
      <c r="C215" t="s">
        <v>238</v>
      </c>
      <c r="D215" t="str">
        <f t="shared" si="3"/>
        <v>altri_datiWIZ_U32WG_VS_SIT_GEO_250Kunità non ben definita compren. litologie delle fmz. 88 e 90</v>
      </c>
      <c r="E215">
        <v>20</v>
      </c>
    </row>
    <row r="216" spans="1:5" x14ac:dyDescent="0.3">
      <c r="A216" s="5" t="s">
        <v>593</v>
      </c>
      <c r="B216" t="s">
        <v>248</v>
      </c>
      <c r="C216" t="s">
        <v>239</v>
      </c>
      <c r="D216" t="str">
        <f t="shared" si="3"/>
        <v>altri_datiWIZ_U32WG_VS_SIT_GEO_250Kmarne gessifere, gessi, calcari, argille</v>
      </c>
      <c r="E216">
        <v>14</v>
      </c>
    </row>
    <row r="217" spans="1:5" x14ac:dyDescent="0.3">
      <c r="A217" s="5" t="s">
        <v>593</v>
      </c>
      <c r="B217" t="s">
        <v>248</v>
      </c>
      <c r="C217" t="s">
        <v>240</v>
      </c>
      <c r="D217" t="str">
        <f t="shared" si="3"/>
        <v>altri_datiWIZ_U32WG_VS_SIT_GEO_250Kargille</v>
      </c>
      <c r="E217">
        <v>7</v>
      </c>
    </row>
    <row r="218" spans="1:5" x14ac:dyDescent="0.3">
      <c r="A218" s="5" t="s">
        <v>593</v>
      </c>
      <c r="B218" t="s">
        <v>248</v>
      </c>
      <c r="C218" t="s">
        <v>241</v>
      </c>
      <c r="D218" t="str">
        <f t="shared" si="3"/>
        <v>altri_datiWIZ_U32WG_VS_SIT_GEO_250Kalternanze di  calcari marnosi, marne, arenarie, argille</v>
      </c>
      <c r="E218">
        <v>12</v>
      </c>
    </row>
    <row r="219" spans="1:5" x14ac:dyDescent="0.3">
      <c r="A219" s="5" t="s">
        <v>593</v>
      </c>
      <c r="B219" t="s">
        <v>248</v>
      </c>
      <c r="C219" t="s">
        <v>242</v>
      </c>
      <c r="D219" t="str">
        <f t="shared" si="3"/>
        <v>altri_datiWIZ_U32WG_VS_SIT_GEO_250Kalter. di argil. e calc. con inglob. C.a Calpionelle, diaspr</v>
      </c>
      <c r="E219">
        <v>4</v>
      </c>
    </row>
    <row r="220" spans="1:5" x14ac:dyDescent="0.3">
      <c r="A220" s="5" t="s">
        <v>593</v>
      </c>
      <c r="B220" t="s">
        <v>248</v>
      </c>
      <c r="C220" t="s">
        <v>243</v>
      </c>
      <c r="D220" t="str">
        <f t="shared" si="3"/>
        <v>altri_datiWIZ_U32WG_VS_SIT_GEO_250Karenarie, argille, marne</v>
      </c>
      <c r="E220">
        <v>2</v>
      </c>
    </row>
    <row r="221" spans="1:5" x14ac:dyDescent="0.3">
      <c r="A221" s="5" t="s">
        <v>593</v>
      </c>
      <c r="B221" t="s">
        <v>248</v>
      </c>
      <c r="C221" t="s">
        <v>244</v>
      </c>
      <c r="D221" t="str">
        <f t="shared" si="3"/>
        <v>altri_datiWIZ_U32WG_VS_SIT_GEO_250Kcalcari, calcari marnosi, marne, argille</v>
      </c>
      <c r="E221">
        <v>2</v>
      </c>
    </row>
    <row r="222" spans="1:5" x14ac:dyDescent="0.3">
      <c r="A222" s="5" t="s">
        <v>593</v>
      </c>
      <c r="B222" t="s">
        <v>248</v>
      </c>
      <c r="C222" t="s">
        <v>245</v>
      </c>
      <c r="D222" t="str">
        <f t="shared" si="3"/>
        <v>altri_datiWIZ_U32WG_VS_SIT_GEO_250Kargille, calcari, conglomerati</v>
      </c>
      <c r="E222">
        <v>6</v>
      </c>
    </row>
    <row r="223" spans="1:5" x14ac:dyDescent="0.3">
      <c r="A223" s="5" t="s">
        <v>593</v>
      </c>
      <c r="B223" t="s">
        <v>248</v>
      </c>
      <c r="C223" t="s">
        <v>246</v>
      </c>
      <c r="D223" t="str">
        <f t="shared" si="3"/>
        <v>altri_datiWIZ_U32WG_VS_SIT_GEO_250Kscisti bituminosi</v>
      </c>
      <c r="E223">
        <v>3</v>
      </c>
    </row>
    <row r="224" spans="1:5" x14ac:dyDescent="0.3">
      <c r="A224" s="5" t="s">
        <v>593</v>
      </c>
      <c r="B224" t="s">
        <v>248</v>
      </c>
      <c r="C224" t="s">
        <v>247</v>
      </c>
      <c r="D224" t="str">
        <f t="shared" si="3"/>
        <v>altri_datiWIZ_U32WG_VS_SIT_GEO_250Kcalcari, dolomie, argille</v>
      </c>
      <c r="E224">
        <v>1</v>
      </c>
    </row>
    <row r="225" spans="1:5" x14ac:dyDescent="0.3">
      <c r="A225" s="5" t="s">
        <v>593</v>
      </c>
      <c r="B225" t="s">
        <v>252</v>
      </c>
      <c r="C225" t="s">
        <v>249</v>
      </c>
      <c r="D225" t="str">
        <f t="shared" si="3"/>
        <v>altri_datiWIZ_U32WG_VS_SIT_GEO_250K_FDISLOCAZIONI PROBABI</v>
      </c>
      <c r="E225">
        <v>136</v>
      </c>
    </row>
    <row r="226" spans="1:5" x14ac:dyDescent="0.3">
      <c r="A226" s="5" t="s">
        <v>593</v>
      </c>
      <c r="B226" t="s">
        <v>252</v>
      </c>
      <c r="C226" t="s">
        <v>250</v>
      </c>
      <c r="D226" t="str">
        <f t="shared" si="3"/>
        <v>altri_datiWIZ_U32WG_VS_SIT_GEO_250K_FDISLOCAZIONI PRINCIP</v>
      </c>
      <c r="E226">
        <v>667</v>
      </c>
    </row>
    <row r="227" spans="1:5" x14ac:dyDescent="0.3">
      <c r="A227" s="5" t="s">
        <v>593</v>
      </c>
      <c r="B227" t="s">
        <v>252</v>
      </c>
      <c r="C227" t="s">
        <v>251</v>
      </c>
      <c r="D227" t="str">
        <f t="shared" si="3"/>
        <v>altri_datiWIZ_U32WG_VS_SIT_GEO_250K_FSOVRASCORRIMENTI</v>
      </c>
      <c r="E227">
        <v>444</v>
      </c>
    </row>
    <row r="228" spans="1:5" x14ac:dyDescent="0.3">
      <c r="A228" s="5" t="s">
        <v>593</v>
      </c>
      <c r="B228" t="s">
        <v>253</v>
      </c>
      <c r="C228" s="1"/>
      <c r="D228" t="str">
        <f t="shared" si="3"/>
        <v>altri_datiWIZ_U32WG_CT10_UTM_TL_MSTR_TR_IDR</v>
      </c>
      <c r="E228">
        <v>139856</v>
      </c>
    </row>
    <row r="229" spans="1:5" x14ac:dyDescent="0.3">
      <c r="A229" s="3" t="s">
        <v>595</v>
      </c>
      <c r="B229" t="s">
        <v>257</v>
      </c>
      <c r="C229" t="s">
        <v>254</v>
      </c>
      <c r="D229" t="str">
        <f t="shared" si="3"/>
        <v>DUSAFaree_fluviali_e_baciniBacini idrici naturali</v>
      </c>
      <c r="E229">
        <v>2172</v>
      </c>
    </row>
    <row r="230" spans="1:5" x14ac:dyDescent="0.3">
      <c r="A230" s="3" t="s">
        <v>595</v>
      </c>
      <c r="B230" t="s">
        <v>257</v>
      </c>
      <c r="C230" t="s">
        <v>255</v>
      </c>
      <c r="D230" t="str">
        <f t="shared" si="3"/>
        <v>DUSAFaree_fluviali_e_baciniBacini idrici artificiali</v>
      </c>
      <c r="E230">
        <v>1207</v>
      </c>
    </row>
    <row r="231" spans="1:5" x14ac:dyDescent="0.3">
      <c r="A231" s="3" t="s">
        <v>595</v>
      </c>
      <c r="B231" t="s">
        <v>257</v>
      </c>
      <c r="C231" t="s">
        <v>256</v>
      </c>
      <c r="D231" t="str">
        <f t="shared" si="3"/>
        <v>DUSAFaree_fluviali_e_baciniAlvei fluviali e corsi d'acqua artificiali</v>
      </c>
      <c r="E231">
        <v>626</v>
      </c>
    </row>
    <row r="232" spans="1:5" x14ac:dyDescent="0.3">
      <c r="A232" s="3" t="s">
        <v>595</v>
      </c>
      <c r="B232" t="s">
        <v>257</v>
      </c>
      <c r="C232" t="s">
        <v>258</v>
      </c>
      <c r="D232" t="str">
        <f t="shared" si="3"/>
        <v>DUSAFaree_fluviali_e_baciniBacini idrici da attività estrattive interessanti la falda</v>
      </c>
      <c r="E232">
        <v>365</v>
      </c>
    </row>
    <row r="233" spans="1:5" x14ac:dyDescent="0.3">
      <c r="A233" s="3" t="s">
        <v>595</v>
      </c>
      <c r="B233" t="s">
        <v>259</v>
      </c>
      <c r="C233" t="s">
        <v>260</v>
      </c>
      <c r="D233" t="str">
        <f t="shared" si="3"/>
        <v>DUSAFcave_e_discarichecave</v>
      </c>
      <c r="E233">
        <v>645</v>
      </c>
    </row>
    <row r="234" spans="1:5" x14ac:dyDescent="0.3">
      <c r="A234" s="3" t="s">
        <v>595</v>
      </c>
      <c r="B234" t="s">
        <v>259</v>
      </c>
      <c r="C234" t="s">
        <v>261</v>
      </c>
      <c r="D234" t="str">
        <f t="shared" si="3"/>
        <v>DUSAFcave_e_discarichediscariche</v>
      </c>
      <c r="E234">
        <v>87</v>
      </c>
    </row>
    <row r="235" spans="1:5" x14ac:dyDescent="0.3">
      <c r="A235" s="3" t="s">
        <v>595</v>
      </c>
      <c r="B235" t="s">
        <v>262</v>
      </c>
      <c r="C235" t="s">
        <v>263</v>
      </c>
      <c r="D235" t="str">
        <f t="shared" si="3"/>
        <v>DUSAFWIZ_U32WG_VS_DUSAF4praterie naturali d'alta quota assenza di specie arboree ed arbustive</v>
      </c>
      <c r="E235">
        <v>2416</v>
      </c>
    </row>
    <row r="236" spans="1:5" x14ac:dyDescent="0.3">
      <c r="A236" s="3" t="s">
        <v>595</v>
      </c>
      <c r="B236" t="s">
        <v>262</v>
      </c>
      <c r="C236" t="s">
        <v>264</v>
      </c>
      <c r="D236" t="str">
        <f t="shared" si="3"/>
        <v>DUSAFWIZ_U32WG_VS_DUSAF4Boschi di conifere a densit?á bassa</v>
      </c>
      <c r="E236">
        <v>1302</v>
      </c>
    </row>
    <row r="237" spans="1:5" x14ac:dyDescent="0.3">
      <c r="A237" s="3" t="s">
        <v>595</v>
      </c>
      <c r="B237" t="s">
        <v>262</v>
      </c>
      <c r="C237" t="s">
        <v>265</v>
      </c>
      <c r="D237" t="str">
        <f t="shared" si="3"/>
        <v>DUSAFWIZ_U32WG_VS_DUSAF4cespuglieti</v>
      </c>
      <c r="E237">
        <v>3773</v>
      </c>
    </row>
    <row r="238" spans="1:5" x14ac:dyDescent="0.3">
      <c r="A238" s="3" t="s">
        <v>595</v>
      </c>
      <c r="B238" t="s">
        <v>262</v>
      </c>
      <c r="C238" t="s">
        <v>266</v>
      </c>
      <c r="D238" t="str">
        <f t="shared" si="3"/>
        <v>DUSAFWIZ_U32WG_VS_DUSAF4vegetazione rada</v>
      </c>
      <c r="E238">
        <v>5938</v>
      </c>
    </row>
    <row r="239" spans="1:5" x14ac:dyDescent="0.3">
      <c r="A239" s="3" t="s">
        <v>595</v>
      </c>
      <c r="B239" t="s">
        <v>262</v>
      </c>
      <c r="C239" t="s">
        <v>267</v>
      </c>
      <c r="D239" t="str">
        <f t="shared" si="3"/>
        <v>DUSAFWIZ_U32WG_VS_DUSAF4Accumuli detritici e affioramenti litoidi privi di vegetazione</v>
      </c>
      <c r="E239">
        <v>5400</v>
      </c>
    </row>
    <row r="240" spans="1:5" x14ac:dyDescent="0.3">
      <c r="A240" s="3" t="s">
        <v>595</v>
      </c>
      <c r="B240" t="s">
        <v>262</v>
      </c>
      <c r="C240" t="s">
        <v>268</v>
      </c>
      <c r="D240" t="str">
        <f t="shared" si="3"/>
        <v>DUSAFWIZ_U32WG_VS_DUSAF4Insediamenti industriali, artigianali, commerciali</v>
      </c>
      <c r="E240">
        <v>15335</v>
      </c>
    </row>
    <row r="241" spans="1:5" x14ac:dyDescent="0.3">
      <c r="A241" s="3" t="s">
        <v>595</v>
      </c>
      <c r="B241" t="s">
        <v>262</v>
      </c>
      <c r="C241" t="s">
        <v>269</v>
      </c>
      <c r="D241" t="str">
        <f t="shared" si="3"/>
        <v>DUSAFWIZ_U32WG_VS_DUSAF4praterie naturali d'alta quota con presenza di specie arboree ed arbustive sparse</v>
      </c>
      <c r="E241">
        <v>1501</v>
      </c>
    </row>
    <row r="242" spans="1:5" x14ac:dyDescent="0.3">
      <c r="A242" s="3" t="s">
        <v>595</v>
      </c>
      <c r="B242" t="s">
        <v>262</v>
      </c>
      <c r="C242" t="s">
        <v>270</v>
      </c>
      <c r="D242" t="str">
        <f t="shared" si="3"/>
        <v>DUSAFWIZ_U32WG_VS_DUSAF4prati permanenti con presenza di specie arboree ed arbustive sparse</v>
      </c>
      <c r="E242">
        <v>11266</v>
      </c>
    </row>
    <row r="243" spans="1:5" x14ac:dyDescent="0.3">
      <c r="A243" s="3" t="s">
        <v>595</v>
      </c>
      <c r="B243" t="s">
        <v>262</v>
      </c>
      <c r="C243" t="s">
        <v>271</v>
      </c>
      <c r="D243" t="str">
        <f t="shared" si="3"/>
        <v>DUSAFWIZ_U32WG_VS_DUSAF4Boschi conifere a densit?á media e alta</v>
      </c>
      <c r="E243">
        <v>3093</v>
      </c>
    </row>
    <row r="244" spans="1:5" x14ac:dyDescent="0.3">
      <c r="A244" s="3" t="s">
        <v>595</v>
      </c>
      <c r="B244" t="s">
        <v>262</v>
      </c>
      <c r="C244" t="s">
        <v>272</v>
      </c>
      <c r="D244" t="str">
        <f t="shared" si="3"/>
        <v>DUSAFWIZ_U32WG_VS_DUSAF4prati permanenti in assenza di specie arboree ed arbustive</v>
      </c>
      <c r="E244">
        <v>43866</v>
      </c>
    </row>
    <row r="245" spans="1:5" x14ac:dyDescent="0.3">
      <c r="A245" s="3" t="s">
        <v>595</v>
      </c>
      <c r="B245" t="s">
        <v>262</v>
      </c>
      <c r="C245" t="s">
        <v>273</v>
      </c>
      <c r="D245" t="str">
        <f t="shared" si="3"/>
        <v>DUSAFWIZ_U32WG_VS_DUSAF4Tessuto residenziale rado e nucleiforme</v>
      </c>
      <c r="E245">
        <v>19242</v>
      </c>
    </row>
    <row r="246" spans="1:5" x14ac:dyDescent="0.3">
      <c r="A246" s="3" t="s">
        <v>595</v>
      </c>
      <c r="B246" t="s">
        <v>262</v>
      </c>
      <c r="C246" t="s">
        <v>274</v>
      </c>
      <c r="D246" t="str">
        <f t="shared" si="3"/>
        <v>DUSAFWIZ_U32WG_VS_DUSAF4Tessuto residenziale sparso</v>
      </c>
      <c r="E246">
        <v>23989</v>
      </c>
    </row>
    <row r="247" spans="1:5" x14ac:dyDescent="0.3">
      <c r="A247" s="3" t="s">
        <v>595</v>
      </c>
      <c r="B247" t="s">
        <v>262</v>
      </c>
      <c r="C247" t="s">
        <v>275</v>
      </c>
      <c r="D247" t="str">
        <f t="shared" si="3"/>
        <v>DUSAFWIZ_U32WG_VS_DUSAF4spiagge, dune ed alvei ghiaiosi</v>
      </c>
      <c r="E247">
        <v>1418</v>
      </c>
    </row>
    <row r="248" spans="1:5" x14ac:dyDescent="0.3">
      <c r="A248" s="3" t="s">
        <v>595</v>
      </c>
      <c r="B248" t="s">
        <v>262</v>
      </c>
      <c r="C248" t="s">
        <v>254</v>
      </c>
      <c r="D248" t="str">
        <f t="shared" si="3"/>
        <v>DUSAFWIZ_U32WG_VS_DUSAF4Bacini idrici naturali</v>
      </c>
      <c r="E248">
        <v>2172</v>
      </c>
    </row>
    <row r="249" spans="1:5" x14ac:dyDescent="0.3">
      <c r="A249" s="3" t="s">
        <v>595</v>
      </c>
      <c r="B249" t="s">
        <v>262</v>
      </c>
      <c r="C249" t="s">
        <v>276</v>
      </c>
      <c r="D249" t="str">
        <f t="shared" si="3"/>
        <v>DUSAFWIZ_U32WG_VS_DUSAF4Impianti sportivi</v>
      </c>
      <c r="E249">
        <v>4669</v>
      </c>
    </row>
    <row r="250" spans="1:5" x14ac:dyDescent="0.3">
      <c r="A250" s="3" t="s">
        <v>595</v>
      </c>
      <c r="B250" t="s">
        <v>262</v>
      </c>
      <c r="C250" t="s">
        <v>277</v>
      </c>
      <c r="D250" t="str">
        <f t="shared" si="3"/>
        <v>DUSAFWIZ_U32WG_VS_DUSAF4aree degradate non utilizzate e non vegetate</v>
      </c>
      <c r="E250">
        <v>3113</v>
      </c>
    </row>
    <row r="251" spans="1:5" x14ac:dyDescent="0.3">
      <c r="A251" s="3" t="s">
        <v>595</v>
      </c>
      <c r="B251" t="s">
        <v>262</v>
      </c>
      <c r="C251" t="s">
        <v>278</v>
      </c>
      <c r="D251" t="str">
        <f t="shared" si="3"/>
        <v>DUSAFWIZ_U32WG_VS_DUSAF4imboschimenti recenti</v>
      </c>
      <c r="E251">
        <v>233</v>
      </c>
    </row>
    <row r="252" spans="1:5" x14ac:dyDescent="0.3">
      <c r="A252" s="3" t="s">
        <v>595</v>
      </c>
      <c r="B252" t="s">
        <v>262</v>
      </c>
      <c r="C252" t="s">
        <v>279</v>
      </c>
      <c r="D252" t="str">
        <f t="shared" si="3"/>
        <v>DUSAFWIZ_U32WG_VS_DUSAF4Impianti tecnologici</v>
      </c>
      <c r="E252">
        <v>785</v>
      </c>
    </row>
    <row r="253" spans="1:5" x14ac:dyDescent="0.3">
      <c r="A253" s="3" t="s">
        <v>595</v>
      </c>
      <c r="B253" t="s">
        <v>262</v>
      </c>
      <c r="C253" t="s">
        <v>280</v>
      </c>
      <c r="D253" t="str">
        <f t="shared" si="3"/>
        <v>DUSAFWIZ_U32WG_VS_DUSAF4boschi di latifoglie a densit?á bassa</v>
      </c>
      <c r="E253">
        <v>2336</v>
      </c>
    </row>
    <row r="254" spans="1:5" x14ac:dyDescent="0.3">
      <c r="A254" s="3" t="s">
        <v>595</v>
      </c>
      <c r="B254" t="s">
        <v>262</v>
      </c>
      <c r="C254" t="s">
        <v>281</v>
      </c>
      <c r="D254" t="str">
        <f t="shared" si="3"/>
        <v>DUSAFWIZ_U32WG_VS_DUSAF4boschi misti a densit?á media e alta</v>
      </c>
      <c r="E254">
        <v>2105</v>
      </c>
    </row>
    <row r="255" spans="1:5" x14ac:dyDescent="0.3">
      <c r="A255" s="3" t="s">
        <v>595</v>
      </c>
      <c r="B255" t="s">
        <v>262</v>
      </c>
      <c r="C255" t="s">
        <v>255</v>
      </c>
      <c r="D255" t="str">
        <f t="shared" si="3"/>
        <v>DUSAFWIZ_U32WG_VS_DUSAF4Bacini idrici artificiali</v>
      </c>
      <c r="E255">
        <v>1207</v>
      </c>
    </row>
    <row r="256" spans="1:5" x14ac:dyDescent="0.3">
      <c r="A256" s="3" t="s">
        <v>595</v>
      </c>
      <c r="B256" t="s">
        <v>262</v>
      </c>
      <c r="C256" t="s">
        <v>282</v>
      </c>
      <c r="D256" t="str">
        <f t="shared" si="3"/>
        <v>DUSAFWIZ_U32WG_VS_DUSAF4cespuglieti con presenza significativa di specie arbustive alte ed arboree</v>
      </c>
      <c r="E256">
        <v>9448</v>
      </c>
    </row>
    <row r="257" spans="1:5" x14ac:dyDescent="0.3">
      <c r="A257" s="3" t="s">
        <v>595</v>
      </c>
      <c r="B257" t="s">
        <v>262</v>
      </c>
      <c r="C257" t="s">
        <v>283</v>
      </c>
      <c r="D257" t="str">
        <f t="shared" si="3"/>
        <v>DUSAFWIZ_U32WG_VS_DUSAF4vegetazione dei greti</v>
      </c>
      <c r="E257">
        <v>1512</v>
      </c>
    </row>
    <row r="258" spans="1:5" x14ac:dyDescent="0.3">
      <c r="A258" s="3" t="s">
        <v>595</v>
      </c>
      <c r="B258" t="s">
        <v>262</v>
      </c>
      <c r="C258" t="s">
        <v>284</v>
      </c>
      <c r="D258" t="str">
        <f t="shared" si="3"/>
        <v>DUSAFWIZ_U32WG_VS_DUSAF4Reti stradali e spazi accessori</v>
      </c>
      <c r="E258">
        <v>2671</v>
      </c>
    </row>
    <row r="259" spans="1:5" x14ac:dyDescent="0.3">
      <c r="A259" s="3" t="s">
        <v>595</v>
      </c>
      <c r="B259" t="s">
        <v>262</v>
      </c>
      <c r="C259" t="s">
        <v>285</v>
      </c>
      <c r="D259" t="str">
        <f t="shared" ref="D259:D304" si="4">_xlfn.CONCAT(A259,B259,C259)</f>
        <v>DUSAFWIZ_U32WG_VS_DUSAF4Tessuto residenziale discontinuo</v>
      </c>
      <c r="E259">
        <v>10661</v>
      </c>
    </row>
    <row r="260" spans="1:5" x14ac:dyDescent="0.3">
      <c r="A260" s="3" t="s">
        <v>595</v>
      </c>
      <c r="B260" t="s">
        <v>262</v>
      </c>
      <c r="C260" t="s">
        <v>260</v>
      </c>
      <c r="D260" t="str">
        <f t="shared" si="4"/>
        <v>DUSAFWIZ_U32WG_VS_DUSAF4cave</v>
      </c>
      <c r="E260">
        <v>645</v>
      </c>
    </row>
    <row r="261" spans="1:5" x14ac:dyDescent="0.3">
      <c r="A261" s="3" t="s">
        <v>595</v>
      </c>
      <c r="B261" t="s">
        <v>262</v>
      </c>
      <c r="C261" t="s">
        <v>256</v>
      </c>
      <c r="D261" t="str">
        <f t="shared" si="4"/>
        <v>DUSAFWIZ_U32WG_VS_DUSAF4Alvei fluviali e corsi d'acqua artificiali</v>
      </c>
      <c r="E261">
        <v>626</v>
      </c>
    </row>
    <row r="262" spans="1:5" x14ac:dyDescent="0.3">
      <c r="A262" s="3" t="s">
        <v>595</v>
      </c>
      <c r="B262" t="s">
        <v>262</v>
      </c>
      <c r="C262" t="s">
        <v>286</v>
      </c>
      <c r="D262" t="str">
        <f t="shared" si="4"/>
        <v>DUSAFWIZ_U32WG_VS_DUSAF4Campeggi e strutture turistiche e ricettive</v>
      </c>
      <c r="E262">
        <v>274</v>
      </c>
    </row>
    <row r="263" spans="1:5" x14ac:dyDescent="0.3">
      <c r="A263" s="3" t="s">
        <v>595</v>
      </c>
      <c r="B263" t="s">
        <v>262</v>
      </c>
      <c r="C263" t="s">
        <v>287</v>
      </c>
      <c r="D263" t="str">
        <f t="shared" si="4"/>
        <v>DUSAFWIZ_U32WG_VS_DUSAF4Cascine</v>
      </c>
      <c r="E263">
        <v>13887</v>
      </c>
    </row>
    <row r="264" spans="1:5" x14ac:dyDescent="0.3">
      <c r="A264" s="3" t="s">
        <v>595</v>
      </c>
      <c r="B264" t="s">
        <v>262</v>
      </c>
      <c r="C264" t="s">
        <v>288</v>
      </c>
      <c r="D264" t="str">
        <f t="shared" si="4"/>
        <v>DUSAFWIZ_U32WG_VS_DUSAF4Cantieri</v>
      </c>
      <c r="E264">
        <v>2814</v>
      </c>
    </row>
    <row r="265" spans="1:5" x14ac:dyDescent="0.3">
      <c r="A265" s="3" t="s">
        <v>595</v>
      </c>
      <c r="B265" t="s">
        <v>262</v>
      </c>
      <c r="C265" t="s">
        <v>289</v>
      </c>
      <c r="D265" t="str">
        <f t="shared" si="4"/>
        <v>DUSAFWIZ_U32WG_VS_DUSAF4Cimiteri</v>
      </c>
      <c r="E265">
        <v>2073</v>
      </c>
    </row>
    <row r="266" spans="1:5" x14ac:dyDescent="0.3">
      <c r="A266" s="3" t="s">
        <v>595</v>
      </c>
      <c r="B266" t="s">
        <v>262</v>
      </c>
      <c r="C266" t="s">
        <v>290</v>
      </c>
      <c r="D266" t="str">
        <f t="shared" si="4"/>
        <v>DUSAFWIZ_U32WG_VS_DUSAF4ghiacciai e nevi perenni</v>
      </c>
      <c r="E266">
        <v>381</v>
      </c>
    </row>
    <row r="267" spans="1:5" x14ac:dyDescent="0.3">
      <c r="A267" s="3" t="s">
        <v>595</v>
      </c>
      <c r="B267" t="s">
        <v>262</v>
      </c>
      <c r="C267" t="s">
        <v>291</v>
      </c>
      <c r="D267" t="str">
        <f t="shared" si="4"/>
        <v>DUSAFWIZ_U32WG_VS_DUSAF4tessuto residenziale continuo mediamente denso</v>
      </c>
      <c r="E267">
        <v>2865</v>
      </c>
    </row>
    <row r="268" spans="1:5" x14ac:dyDescent="0.3">
      <c r="A268" s="3" t="s">
        <v>595</v>
      </c>
      <c r="B268" t="s">
        <v>262</v>
      </c>
      <c r="C268" t="s">
        <v>292</v>
      </c>
      <c r="D268" t="str">
        <f t="shared" si="4"/>
        <v>DUSAFWIZ_U32WG_VS_DUSAF4cespuglieti in aree di agricole abbandonate</v>
      </c>
      <c r="E268">
        <v>12462</v>
      </c>
    </row>
    <row r="269" spans="1:5" x14ac:dyDescent="0.3">
      <c r="A269" s="3" t="s">
        <v>595</v>
      </c>
      <c r="B269" t="s">
        <v>262</v>
      </c>
      <c r="C269" t="s">
        <v>293</v>
      </c>
      <c r="D269" t="str">
        <f t="shared" si="4"/>
        <v>DUSAFWIZ_U32WG_VS_DUSAF4Impianti di servizi pubblici e privati</v>
      </c>
      <c r="E269">
        <v>4537</v>
      </c>
    </row>
    <row r="270" spans="1:5" x14ac:dyDescent="0.3">
      <c r="A270" s="3" t="s">
        <v>595</v>
      </c>
      <c r="B270" t="s">
        <v>262</v>
      </c>
      <c r="C270" t="s">
        <v>294</v>
      </c>
      <c r="D270" t="str">
        <f t="shared" si="4"/>
        <v>DUSAFWIZ_U32WG_VS_DUSAF4formazioni ripariali</v>
      </c>
      <c r="E270">
        <v>6785</v>
      </c>
    </row>
    <row r="271" spans="1:5" x14ac:dyDescent="0.3">
      <c r="A271" s="3" t="s">
        <v>595</v>
      </c>
      <c r="B271" t="s">
        <v>262</v>
      </c>
      <c r="C271" t="s">
        <v>295</v>
      </c>
      <c r="D271" t="str">
        <f t="shared" si="4"/>
        <v>DUSAFWIZ_U32WG_VS_DUSAF4seminativi semplici</v>
      </c>
      <c r="E271">
        <v>20382</v>
      </c>
    </row>
    <row r="272" spans="1:5" x14ac:dyDescent="0.3">
      <c r="A272" s="3" t="s">
        <v>595</v>
      </c>
      <c r="B272" t="s">
        <v>262</v>
      </c>
      <c r="C272" t="s">
        <v>296</v>
      </c>
      <c r="D272" t="str">
        <f t="shared" si="4"/>
        <v>DUSAFWIZ_U32WG_VS_DUSAF4Insediamenti produttivi agricoli</v>
      </c>
      <c r="E272">
        <v>13593</v>
      </c>
    </row>
    <row r="273" spans="1:5" x14ac:dyDescent="0.3">
      <c r="A273" s="3" t="s">
        <v>595</v>
      </c>
      <c r="B273" t="s">
        <v>262</v>
      </c>
      <c r="C273" t="s">
        <v>297</v>
      </c>
      <c r="D273" t="str">
        <f t="shared" si="4"/>
        <v>DUSAFWIZ_U32WG_VS_DUSAF4Aeroporti ed eliporti</v>
      </c>
      <c r="E273">
        <v>35</v>
      </c>
    </row>
    <row r="274" spans="1:5" x14ac:dyDescent="0.3">
      <c r="A274" s="3" t="s">
        <v>595</v>
      </c>
      <c r="B274" t="s">
        <v>262</v>
      </c>
      <c r="C274" t="s">
        <v>298</v>
      </c>
      <c r="D274" t="str">
        <f t="shared" si="4"/>
        <v>DUSAFWIZ_U32WG_VS_DUSAF4Parchi e giardini</v>
      </c>
      <c r="E274">
        <v>10226</v>
      </c>
    </row>
    <row r="275" spans="1:5" x14ac:dyDescent="0.3">
      <c r="A275" s="3" t="s">
        <v>595</v>
      </c>
      <c r="B275" t="s">
        <v>262</v>
      </c>
      <c r="C275" t="s">
        <v>299</v>
      </c>
      <c r="D275" t="str">
        <f t="shared" si="4"/>
        <v>DUSAFWIZ_U32WG_VS_DUSAF4vegetazione delle aree umide interne e delle torbiere</v>
      </c>
      <c r="E275">
        <v>592</v>
      </c>
    </row>
    <row r="276" spans="1:5" x14ac:dyDescent="0.3">
      <c r="A276" s="3" t="s">
        <v>595</v>
      </c>
      <c r="B276" t="s">
        <v>262</v>
      </c>
      <c r="C276" t="s">
        <v>300</v>
      </c>
      <c r="D276" t="str">
        <f t="shared" si="4"/>
        <v>DUSAFWIZ_U32WG_VS_DUSAF4boschi di latifoglie a densit?á media e alta</v>
      </c>
      <c r="E276">
        <v>14508</v>
      </c>
    </row>
    <row r="277" spans="1:5" x14ac:dyDescent="0.3">
      <c r="A277" s="3" t="s">
        <v>595</v>
      </c>
      <c r="B277" t="s">
        <v>262</v>
      </c>
      <c r="C277" t="s">
        <v>301</v>
      </c>
      <c r="D277" t="str">
        <f t="shared" si="4"/>
        <v>DUSAFWIZ_U32WG_VS_DUSAF4boschi misti a densit?á bassa</v>
      </c>
      <c r="E277">
        <v>255</v>
      </c>
    </row>
    <row r="278" spans="1:5" x14ac:dyDescent="0.3">
      <c r="A278" s="3" t="s">
        <v>595</v>
      </c>
      <c r="B278" t="s">
        <v>262</v>
      </c>
      <c r="C278" t="s">
        <v>302</v>
      </c>
      <c r="D278" t="str">
        <f t="shared" si="4"/>
        <v>DUSAFWIZ_U32WG_VS_DUSAF4castagneti da frutto</v>
      </c>
      <c r="E278">
        <v>385</v>
      </c>
    </row>
    <row r="279" spans="1:5" x14ac:dyDescent="0.3">
      <c r="A279" s="3" t="s">
        <v>595</v>
      </c>
      <c r="B279" t="s">
        <v>262</v>
      </c>
      <c r="C279" t="s">
        <v>303</v>
      </c>
      <c r="D279" t="str">
        <f t="shared" si="4"/>
        <v>DUSAFWIZ_U32WG_VS_DUSAF4Insediamenti ospedalieri</v>
      </c>
      <c r="E279">
        <v>176</v>
      </c>
    </row>
    <row r="280" spans="1:5" x14ac:dyDescent="0.3">
      <c r="A280" s="3" t="s">
        <v>595</v>
      </c>
      <c r="B280" t="s">
        <v>262</v>
      </c>
      <c r="C280" t="s">
        <v>261</v>
      </c>
      <c r="D280" t="str">
        <f t="shared" si="4"/>
        <v>DUSAFWIZ_U32WG_VS_DUSAF4discariche</v>
      </c>
      <c r="E280">
        <v>87</v>
      </c>
    </row>
    <row r="281" spans="1:5" x14ac:dyDescent="0.3">
      <c r="A281" s="3" t="s">
        <v>595</v>
      </c>
      <c r="B281" t="s">
        <v>262</v>
      </c>
      <c r="C281" t="s">
        <v>304</v>
      </c>
      <c r="D281" t="str">
        <f t="shared" si="4"/>
        <v>DUSAFWIZ_U32WG_VS_DUSAF4seminativi arborati</v>
      </c>
      <c r="E281">
        <v>1346</v>
      </c>
    </row>
    <row r="282" spans="1:5" x14ac:dyDescent="0.3">
      <c r="A282" s="3" t="s">
        <v>595</v>
      </c>
      <c r="B282" t="s">
        <v>262</v>
      </c>
      <c r="C282" t="s">
        <v>305</v>
      </c>
      <c r="D282" t="str">
        <f t="shared" si="4"/>
        <v>DUSAFWIZ_U32WG_VS_DUSAF4vigneti</v>
      </c>
      <c r="E282">
        <v>8612</v>
      </c>
    </row>
    <row r="283" spans="1:5" x14ac:dyDescent="0.3">
      <c r="A283" s="3" t="s">
        <v>595</v>
      </c>
      <c r="B283" t="s">
        <v>262</v>
      </c>
      <c r="C283" t="s">
        <v>306</v>
      </c>
      <c r="D283" t="str">
        <f t="shared" si="4"/>
        <v>DUSAFWIZ_U32WG_VS_DUSAF4frutteti e frutti minori</v>
      </c>
      <c r="E283">
        <v>4077</v>
      </c>
    </row>
    <row r="284" spans="1:5" x14ac:dyDescent="0.3">
      <c r="A284" s="3" t="s">
        <v>595</v>
      </c>
      <c r="B284" t="s">
        <v>262</v>
      </c>
      <c r="C284" t="s">
        <v>307</v>
      </c>
      <c r="D284" t="str">
        <f t="shared" si="4"/>
        <v>DUSAFWIZ_U32WG_VS_DUSAF4Reti ferroviarie e spazi accessori</v>
      </c>
      <c r="E284">
        <v>273</v>
      </c>
    </row>
    <row r="285" spans="1:5" x14ac:dyDescent="0.3">
      <c r="A285" s="3" t="s">
        <v>595</v>
      </c>
      <c r="B285" t="s">
        <v>262</v>
      </c>
      <c r="C285" t="s">
        <v>308</v>
      </c>
      <c r="D285" t="str">
        <f t="shared" si="4"/>
        <v>DUSAFWIZ_U32WG_VS_DUSAF4Aree verdi incolte</v>
      </c>
      <c r="E285">
        <v>4248</v>
      </c>
    </row>
    <row r="286" spans="1:5" x14ac:dyDescent="0.3">
      <c r="A286" s="3" t="s">
        <v>595</v>
      </c>
      <c r="B286" t="s">
        <v>262</v>
      </c>
      <c r="C286" t="s">
        <v>309</v>
      </c>
      <c r="D286" t="str">
        <f t="shared" si="4"/>
        <v>DUSAFWIZ_U32WG_VS_DUSAF4orti familiari</v>
      </c>
      <c r="E286">
        <v>2100</v>
      </c>
    </row>
    <row r="287" spans="1:5" x14ac:dyDescent="0.3">
      <c r="A287" s="3" t="s">
        <v>595</v>
      </c>
      <c r="B287" t="s">
        <v>262</v>
      </c>
      <c r="C287" t="s">
        <v>310</v>
      </c>
      <c r="D287" t="str">
        <f t="shared" si="4"/>
        <v>DUSAFWIZ_U32WG_VS_DUSAF4Colture orticole a pieno campo</v>
      </c>
      <c r="E287">
        <v>3094</v>
      </c>
    </row>
    <row r="288" spans="1:5" x14ac:dyDescent="0.3">
      <c r="A288" s="3" t="s">
        <v>595</v>
      </c>
      <c r="B288" t="s">
        <v>262</v>
      </c>
      <c r="C288" t="s">
        <v>311</v>
      </c>
      <c r="D288" t="str">
        <f t="shared" si="4"/>
        <v>DUSAFWIZ_U32WG_VS_DUSAF4Impianti fotovoltaici a terra</v>
      </c>
      <c r="E288">
        <v>225</v>
      </c>
    </row>
    <row r="289" spans="1:5" x14ac:dyDescent="0.3">
      <c r="A289" s="3" t="s">
        <v>595</v>
      </c>
      <c r="B289" t="s">
        <v>262</v>
      </c>
      <c r="C289" t="s">
        <v>312</v>
      </c>
      <c r="D289" t="str">
        <f t="shared" si="4"/>
        <v>DUSAFWIZ_U32WG_VS_DUSAF4altre legnose agrarie</v>
      </c>
      <c r="E289">
        <v>2127</v>
      </c>
    </row>
    <row r="290" spans="1:5" x14ac:dyDescent="0.3">
      <c r="A290" s="3" t="s">
        <v>595</v>
      </c>
      <c r="B290" t="s">
        <v>262</v>
      </c>
      <c r="C290" t="s">
        <v>313</v>
      </c>
      <c r="D290" t="str">
        <f t="shared" si="4"/>
        <v>DUSAFWIZ_U32WG_VS_DUSAF4Colture orticole protette.</v>
      </c>
      <c r="E290">
        <v>1386</v>
      </c>
    </row>
    <row r="291" spans="1:5" x14ac:dyDescent="0.3">
      <c r="A291" s="3" t="s">
        <v>595</v>
      </c>
      <c r="B291" t="s">
        <v>262</v>
      </c>
      <c r="C291" t="s">
        <v>314</v>
      </c>
      <c r="D291" t="str">
        <f t="shared" si="4"/>
        <v>DUSAFWIZ_U32WG_VS_DUSAF4Bacini idrici da attivit?? estrattive interessanti la falda</v>
      </c>
      <c r="E291">
        <v>365</v>
      </c>
    </row>
    <row r="292" spans="1:5" x14ac:dyDescent="0.3">
      <c r="A292" s="3" t="s">
        <v>595</v>
      </c>
      <c r="B292" t="s">
        <v>262</v>
      </c>
      <c r="C292" t="s">
        <v>315</v>
      </c>
      <c r="D292" t="str">
        <f t="shared" si="4"/>
        <v>DUSAFWIZ_U32WG_VS_DUSAF4Colture floro-vivaistiche protette</v>
      </c>
      <c r="E292">
        <v>220</v>
      </c>
    </row>
    <row r="293" spans="1:5" x14ac:dyDescent="0.3">
      <c r="A293" s="3" t="s">
        <v>595</v>
      </c>
      <c r="B293" t="s">
        <v>262</v>
      </c>
      <c r="C293" t="s">
        <v>316</v>
      </c>
      <c r="D293" t="str">
        <f t="shared" si="4"/>
        <v>DUSAFWIZ_U32WG_VS_DUSAF4pioppeti</v>
      </c>
      <c r="E293">
        <v>6034</v>
      </c>
    </row>
    <row r="294" spans="1:5" x14ac:dyDescent="0.3">
      <c r="A294" s="3" t="s">
        <v>595</v>
      </c>
      <c r="B294" t="s">
        <v>262</v>
      </c>
      <c r="C294" t="s">
        <v>317</v>
      </c>
      <c r="D294" t="str">
        <f t="shared" si="4"/>
        <v>DUSAFWIZ_U32WG_VS_DUSAF4tessuto residenziale denso</v>
      </c>
      <c r="E294">
        <v>544</v>
      </c>
    </row>
    <row r="295" spans="1:5" x14ac:dyDescent="0.3">
      <c r="A295" s="3" t="s">
        <v>595</v>
      </c>
      <c r="B295" t="s">
        <v>262</v>
      </c>
      <c r="C295" t="s">
        <v>318</v>
      </c>
      <c r="D295" t="str">
        <f t="shared" si="4"/>
        <v>DUSAFWIZ_U32WG_VS_DUSAF4vegetazione degli argini sopraelevati</v>
      </c>
      <c r="E295">
        <v>374</v>
      </c>
    </row>
    <row r="296" spans="1:5" x14ac:dyDescent="0.3">
      <c r="A296" s="3" t="s">
        <v>595</v>
      </c>
      <c r="B296" t="s">
        <v>262</v>
      </c>
      <c r="C296" t="s">
        <v>319</v>
      </c>
      <c r="D296" t="str">
        <f t="shared" si="4"/>
        <v>DUSAFWIZ_U32WG_VS_DUSAF4Aree portuali</v>
      </c>
      <c r="E296">
        <v>135</v>
      </c>
    </row>
    <row r="297" spans="1:5" x14ac:dyDescent="0.3">
      <c r="A297" s="3" t="s">
        <v>595</v>
      </c>
      <c r="B297" t="s">
        <v>262</v>
      </c>
      <c r="C297" t="s">
        <v>320</v>
      </c>
      <c r="D297" t="str">
        <f t="shared" si="4"/>
        <v>DUSAFWIZ_U32WG_VS_DUSAF4oliveti</v>
      </c>
      <c r="E297">
        <v>1660</v>
      </c>
    </row>
    <row r="298" spans="1:5" x14ac:dyDescent="0.3">
      <c r="A298" s="3" t="s">
        <v>595</v>
      </c>
      <c r="B298" t="s">
        <v>262</v>
      </c>
      <c r="C298" t="s">
        <v>321</v>
      </c>
      <c r="D298" t="str">
        <f t="shared" si="4"/>
        <v>DUSAFWIZ_U32WG_VS_DUSAF4Colture floro-vivaistiche a pieno campo</v>
      </c>
      <c r="E298">
        <v>1672</v>
      </c>
    </row>
    <row r="299" spans="1:5" x14ac:dyDescent="0.3">
      <c r="A299" s="3" t="s">
        <v>595</v>
      </c>
      <c r="B299" t="s">
        <v>262</v>
      </c>
      <c r="C299" t="s">
        <v>322</v>
      </c>
      <c r="D299" t="str">
        <f t="shared" si="4"/>
        <v>DUSAFWIZ_U32WG_VS_DUSAF4Parchi divertimento</v>
      </c>
      <c r="E299">
        <v>30</v>
      </c>
    </row>
    <row r="300" spans="1:5" x14ac:dyDescent="0.3">
      <c r="A300" s="3" t="s">
        <v>595</v>
      </c>
      <c r="B300" t="s">
        <v>262</v>
      </c>
      <c r="C300" t="s">
        <v>323</v>
      </c>
      <c r="D300" t="str">
        <f t="shared" si="4"/>
        <v>DUSAFWIZ_U32WG_VS_DUSAF4Aree archeologiche</v>
      </c>
      <c r="E300">
        <v>6</v>
      </c>
    </row>
    <row r="301" spans="1:5" x14ac:dyDescent="0.3">
      <c r="A301" s="3" t="s">
        <v>595</v>
      </c>
      <c r="B301" t="s">
        <v>262</v>
      </c>
      <c r="C301" t="s">
        <v>324</v>
      </c>
      <c r="D301" t="str">
        <f t="shared" si="4"/>
        <v>DUSAFWIZ_U32WG_VS_DUSAF4aree militari obliterate</v>
      </c>
      <c r="E301">
        <v>33</v>
      </c>
    </row>
    <row r="302" spans="1:5" x14ac:dyDescent="0.3">
      <c r="A302" s="3" t="s">
        <v>595</v>
      </c>
      <c r="B302" t="s">
        <v>262</v>
      </c>
      <c r="C302" t="s">
        <v>325</v>
      </c>
      <c r="D302" t="str">
        <f t="shared" si="4"/>
        <v>DUSAFWIZ_U32WG_VS_DUSAF4risaie</v>
      </c>
      <c r="E302">
        <v>1274</v>
      </c>
    </row>
    <row r="303" spans="1:5" x14ac:dyDescent="0.3">
      <c r="A303" s="3" t="s">
        <v>595</v>
      </c>
      <c r="B303" t="s">
        <v>262</v>
      </c>
      <c r="C303" t="s">
        <v>326</v>
      </c>
      <c r="D303" t="str">
        <f t="shared" si="4"/>
        <v>DUSAFWIZ_U32WG_VS_DUSAF4marcite</v>
      </c>
      <c r="E303">
        <v>36</v>
      </c>
    </row>
    <row r="304" spans="1:5" x14ac:dyDescent="0.3">
      <c r="A304" s="3" t="s">
        <v>595</v>
      </c>
      <c r="B304" t="s">
        <v>327</v>
      </c>
      <c r="C304" t="s">
        <v>327</v>
      </c>
      <c r="D304" t="str">
        <f t="shared" si="4"/>
        <v>DUSAFvegetazione_degli_argini_sopraelevativegetazione_degli_argini_sopraelevati</v>
      </c>
      <c r="E304">
        <v>374</v>
      </c>
    </row>
    <row r="305" spans="1:5" x14ac:dyDescent="0.3">
      <c r="A305" s="3" t="s">
        <v>594</v>
      </c>
      <c r="B305" t="s">
        <v>331</v>
      </c>
      <c r="C305" s="2" t="s">
        <v>496</v>
      </c>
      <c r="D305" t="str">
        <f t="shared" ref="D305:D335" si="5">_xlfn.CONCAT(A305,B305,C305)</f>
        <v>dissesti_IFFIfr_iffi0 (non determinato)</v>
      </c>
      <c r="E305">
        <v>672</v>
      </c>
    </row>
    <row r="306" spans="1:5" x14ac:dyDescent="0.3">
      <c r="A306" s="3" t="s">
        <v>594</v>
      </c>
      <c r="B306" t="s">
        <v>331</v>
      </c>
      <c r="C306" s="2" t="s">
        <v>497</v>
      </c>
      <c r="D306" t="str">
        <f t="shared" si="5"/>
        <v>dissesti_IFFIfr_iffi1 (crollo ribaltamento)</v>
      </c>
      <c r="E306">
        <v>3633</v>
      </c>
    </row>
    <row r="307" spans="1:5" x14ac:dyDescent="0.3">
      <c r="A307" s="3" t="s">
        <v>594</v>
      </c>
      <c r="B307" t="s">
        <v>331</v>
      </c>
      <c r="C307" s="2" t="s">
        <v>498</v>
      </c>
      <c r="D307" t="str">
        <f t="shared" si="5"/>
        <v>dissesti_IFFIfr_iffi2 (scivolamento rotazionale traslativo)</v>
      </c>
      <c r="E307">
        <v>21541</v>
      </c>
    </row>
    <row r="308" spans="1:5" ht="14.4" customHeight="1" x14ac:dyDescent="0.3">
      <c r="A308" s="3" t="s">
        <v>594</v>
      </c>
      <c r="B308" t="s">
        <v>331</v>
      </c>
      <c r="C308" t="s">
        <v>501</v>
      </c>
      <c r="D308" t="str">
        <f t="shared" si="5"/>
        <v>dissesti_IFFIfr_iffi3 (espansione)</v>
      </c>
      <c r="E308">
        <v>5</v>
      </c>
    </row>
    <row r="309" spans="1:5" x14ac:dyDescent="0.3">
      <c r="A309" s="3" t="s">
        <v>594</v>
      </c>
      <c r="B309" t="s">
        <v>331</v>
      </c>
      <c r="C309" s="2" t="s">
        <v>503</v>
      </c>
      <c r="D309" t="str">
        <f t="shared" si="5"/>
        <v>dissesti_IFFIfr_iffi4 (colamento lento)</v>
      </c>
      <c r="E309">
        <v>1568</v>
      </c>
    </row>
    <row r="310" spans="1:5" x14ac:dyDescent="0.3">
      <c r="A310" s="3" t="s">
        <v>594</v>
      </c>
      <c r="B310" t="s">
        <v>331</v>
      </c>
      <c r="C310" s="2" t="s">
        <v>505</v>
      </c>
      <c r="D310" t="str">
        <f t="shared" si="5"/>
        <v>dissesti_IFFIfr_iffi5 (colamento rapido)</v>
      </c>
      <c r="E310">
        <v>59112</v>
      </c>
    </row>
    <row r="311" spans="1:5" x14ac:dyDescent="0.3">
      <c r="A311" s="3" t="s">
        <v>594</v>
      </c>
      <c r="B311" t="s">
        <v>331</v>
      </c>
      <c r="C311" s="2" t="s">
        <v>506</v>
      </c>
      <c r="D311" t="str">
        <f t="shared" si="5"/>
        <v>dissesti_IFFIfr_iffi6 (sprofondamento)</v>
      </c>
      <c r="E311">
        <v>65</v>
      </c>
    </row>
    <row r="312" spans="1:5" x14ac:dyDescent="0.3">
      <c r="A312" s="3" t="s">
        <v>594</v>
      </c>
      <c r="B312" t="s">
        <v>331</v>
      </c>
      <c r="C312" s="2" t="s">
        <v>508</v>
      </c>
      <c r="D312" t="str">
        <f t="shared" si="5"/>
        <v>dissesti_IFFIfr_iffi7 (corpo di frana complesso)</v>
      </c>
      <c r="E312">
        <v>4133</v>
      </c>
    </row>
    <row r="313" spans="1:5" x14ac:dyDescent="0.3">
      <c r="A313" s="3" t="s">
        <v>594</v>
      </c>
      <c r="B313" t="s">
        <v>330</v>
      </c>
      <c r="C313" s="2" t="s">
        <v>509</v>
      </c>
      <c r="D313" t="str">
        <f t="shared" si="5"/>
        <v>dissesti_IFFIfr_dgpv8 (DGPV)</v>
      </c>
      <c r="E313">
        <v>197</v>
      </c>
    </row>
    <row r="314" spans="1:5" x14ac:dyDescent="0.3">
      <c r="A314" s="3" t="s">
        <v>594</v>
      </c>
      <c r="B314" t="s">
        <v>331</v>
      </c>
      <c r="C314" s="2" t="s">
        <v>509</v>
      </c>
      <c r="D314" t="str">
        <f t="shared" si="5"/>
        <v>dissesti_IFFIfr_iffi8 (DGPV)</v>
      </c>
      <c r="E314">
        <v>160</v>
      </c>
    </row>
    <row r="315" spans="1:5" x14ac:dyDescent="0.3">
      <c r="A315" s="3" t="s">
        <v>594</v>
      </c>
      <c r="B315" t="s">
        <v>328</v>
      </c>
      <c r="C315" s="2" t="s">
        <v>511</v>
      </c>
      <c r="D315" t="str">
        <f t="shared" si="5"/>
        <v>dissesti_IFFIfr_aree9 (aree soggette a crolli e ribaltamenti diffusi)</v>
      </c>
      <c r="E315">
        <v>42219</v>
      </c>
    </row>
    <row r="316" spans="1:5" x14ac:dyDescent="0.3">
      <c r="A316" s="3" t="s">
        <v>594</v>
      </c>
      <c r="B316" t="s">
        <v>331</v>
      </c>
      <c r="C316" s="2" t="s">
        <v>511</v>
      </c>
      <c r="D316" t="str">
        <f t="shared" si="5"/>
        <v>dissesti_IFFIfr_iffi9 (aree soggette a crolli e ribaltamenti diffusi)</v>
      </c>
      <c r="E316">
        <v>42221</v>
      </c>
    </row>
    <row r="317" spans="1:5" x14ac:dyDescent="0.3">
      <c r="A317" s="3" t="s">
        <v>594</v>
      </c>
      <c r="B317" t="s">
        <v>328</v>
      </c>
      <c r="C317" s="2" t="s">
        <v>512</v>
      </c>
      <c r="D317" t="str">
        <f t="shared" si="5"/>
        <v>dissesti_IFFIfr_aree10 (Aree soggette a sprofondamenti diffusi)</v>
      </c>
      <c r="E317">
        <v>8867</v>
      </c>
    </row>
    <row r="318" spans="1:5" x14ac:dyDescent="0.3">
      <c r="A318" s="3" t="s">
        <v>594</v>
      </c>
      <c r="B318" t="s">
        <v>331</v>
      </c>
      <c r="C318" s="2" t="s">
        <v>512</v>
      </c>
      <c r="D318" t="str">
        <f t="shared" si="5"/>
        <v>dissesti_IFFIfr_iffi10 (Aree soggette a sprofondamenti diffusi)</v>
      </c>
      <c r="E318">
        <v>6</v>
      </c>
    </row>
    <row r="319" spans="1:5" x14ac:dyDescent="0.3">
      <c r="A319" s="3" t="s">
        <v>594</v>
      </c>
      <c r="B319" t="s">
        <v>328</v>
      </c>
      <c r="C319" s="2" t="s">
        <v>513</v>
      </c>
      <c r="D319" t="str">
        <f t="shared" si="5"/>
        <v>dissesti_IFFIfr_aree11 (Aree soggette a frane superficiali diffuse)</v>
      </c>
      <c r="E319">
        <v>4</v>
      </c>
    </row>
    <row r="320" spans="1:5" x14ac:dyDescent="0.3">
      <c r="A320" s="3" t="s">
        <v>594</v>
      </c>
      <c r="B320" t="s">
        <v>331</v>
      </c>
      <c r="C320" s="2" t="s">
        <v>513</v>
      </c>
      <c r="D320" t="str">
        <f t="shared" si="5"/>
        <v>dissesti_IFFIfr_iffi11 (Aree soggette a frane superficiali diffuse)</v>
      </c>
      <c r="E320">
        <v>8868</v>
      </c>
    </row>
    <row r="321" spans="1:5" x14ac:dyDescent="0.3">
      <c r="A321" s="3" t="s">
        <v>594</v>
      </c>
      <c r="B321" t="s">
        <v>329</v>
      </c>
      <c r="C321" s="2" t="s">
        <v>514</v>
      </c>
      <c r="D321" t="str">
        <f t="shared" si="5"/>
        <v>dissesti_IFFIfr_co99 (conoide misto)</v>
      </c>
      <c r="E321">
        <v>2667</v>
      </c>
    </row>
    <row r="322" spans="1:5" x14ac:dyDescent="0.3">
      <c r="A322" s="3" t="s">
        <v>594</v>
      </c>
      <c r="B322" t="s">
        <v>331</v>
      </c>
      <c r="C322" s="2" t="s">
        <v>514</v>
      </c>
      <c r="D322" t="str">
        <f t="shared" si="5"/>
        <v>dissesti_IFFIfr_iffi99 (conoide misto)</v>
      </c>
      <c r="E322">
        <v>2668</v>
      </c>
    </row>
    <row r="323" spans="1:5" x14ac:dyDescent="0.3">
      <c r="A323" s="3" t="s">
        <v>594</v>
      </c>
      <c r="B323" t="s">
        <v>333</v>
      </c>
      <c r="C323" s="2" t="s">
        <v>496</v>
      </c>
      <c r="D323" t="str">
        <f t="shared" si="5"/>
        <v>dissesti_IFFIfr_po0 (non determinato)</v>
      </c>
      <c r="E323">
        <v>53</v>
      </c>
    </row>
    <row r="324" spans="1:5" x14ac:dyDescent="0.3">
      <c r="A324" s="3" t="s">
        <v>594</v>
      </c>
      <c r="B324" t="s">
        <v>332</v>
      </c>
      <c r="C324" s="2" t="s">
        <v>497</v>
      </c>
      <c r="D324" t="str">
        <f t="shared" si="5"/>
        <v>dissesti_IFFIfr_li1 (crollo ribaltamento)</v>
      </c>
      <c r="E324">
        <v>3</v>
      </c>
    </row>
    <row r="325" spans="1:5" x14ac:dyDescent="0.3">
      <c r="A325" s="3" t="s">
        <v>594</v>
      </c>
      <c r="B325" t="s">
        <v>333</v>
      </c>
      <c r="C325" s="2" t="s">
        <v>497</v>
      </c>
      <c r="D325" t="str">
        <f t="shared" si="5"/>
        <v>dissesti_IFFIfr_po1 (crollo ribaltamento)</v>
      </c>
      <c r="E325">
        <v>2563</v>
      </c>
    </row>
    <row r="326" spans="1:5" x14ac:dyDescent="0.3">
      <c r="A326" s="3" t="s">
        <v>594</v>
      </c>
      <c r="B326" t="s">
        <v>332</v>
      </c>
      <c r="C326" s="2" t="s">
        <v>498</v>
      </c>
      <c r="D326" t="str">
        <f t="shared" si="5"/>
        <v>dissesti_IFFIfr_li2 (scivolamento rotazionale traslativo)</v>
      </c>
      <c r="E326">
        <v>1</v>
      </c>
    </row>
    <row r="327" spans="1:5" x14ac:dyDescent="0.3">
      <c r="A327" s="3" t="s">
        <v>594</v>
      </c>
      <c r="B327" t="s">
        <v>333</v>
      </c>
      <c r="C327" s="2" t="s">
        <v>498</v>
      </c>
      <c r="D327" t="str">
        <f t="shared" si="5"/>
        <v>dissesti_IFFIfr_po2 (scivolamento rotazionale traslativo)</v>
      </c>
      <c r="E327">
        <v>28088</v>
      </c>
    </row>
    <row r="328" spans="1:5" x14ac:dyDescent="0.3">
      <c r="A328" s="3" t="s">
        <v>594</v>
      </c>
      <c r="B328" t="s">
        <v>333</v>
      </c>
      <c r="C328" t="s">
        <v>501</v>
      </c>
      <c r="D328" t="str">
        <f t="shared" si="5"/>
        <v>dissesti_IFFIfr_po3 (espansione)</v>
      </c>
      <c r="E328">
        <v>3</v>
      </c>
    </row>
    <row r="329" spans="1:5" x14ac:dyDescent="0.3">
      <c r="A329" s="3" t="s">
        <v>594</v>
      </c>
      <c r="B329" t="s">
        <v>333</v>
      </c>
      <c r="C329" s="2" t="s">
        <v>503</v>
      </c>
      <c r="D329" t="str">
        <f t="shared" si="5"/>
        <v>dissesti_IFFIfr_po4 (colamento lento)</v>
      </c>
      <c r="E329">
        <v>1293</v>
      </c>
    </row>
    <row r="330" spans="1:5" x14ac:dyDescent="0.3">
      <c r="A330" s="3" t="s">
        <v>594</v>
      </c>
      <c r="B330" t="s">
        <v>332</v>
      </c>
      <c r="C330" s="2" t="s">
        <v>505</v>
      </c>
      <c r="D330" t="str">
        <f t="shared" si="5"/>
        <v>dissesti_IFFIfr_li5 (colamento rapido)</v>
      </c>
      <c r="E330">
        <v>54780</v>
      </c>
    </row>
    <row r="331" spans="1:5" x14ac:dyDescent="0.3">
      <c r="A331" s="3" t="s">
        <v>594</v>
      </c>
      <c r="B331" t="s">
        <v>333</v>
      </c>
      <c r="C331" s="2" t="s">
        <v>505</v>
      </c>
      <c r="D331" t="str">
        <f t="shared" si="5"/>
        <v>dissesti_IFFIfr_po5 (colamento rapido)</v>
      </c>
      <c r="E331">
        <v>7826</v>
      </c>
    </row>
    <row r="332" spans="1:5" x14ac:dyDescent="0.3">
      <c r="A332" s="3" t="s">
        <v>594</v>
      </c>
      <c r="B332" t="s">
        <v>333</v>
      </c>
      <c r="C332" t="s">
        <v>506</v>
      </c>
      <c r="D332" t="str">
        <f t="shared" si="5"/>
        <v>dissesti_IFFIfr_po6 (sprofondamento)</v>
      </c>
      <c r="E332">
        <v>40</v>
      </c>
    </row>
    <row r="333" spans="1:5" x14ac:dyDescent="0.3">
      <c r="A333" s="3" t="s">
        <v>594</v>
      </c>
      <c r="B333" t="s">
        <v>332</v>
      </c>
      <c r="C333" s="2" t="s">
        <v>508</v>
      </c>
      <c r="D333" t="str">
        <f t="shared" si="5"/>
        <v>dissesti_IFFIfr_li7 (corpo di frana complesso)</v>
      </c>
      <c r="E333">
        <v>1</v>
      </c>
    </row>
    <row r="334" spans="1:5" x14ac:dyDescent="0.3">
      <c r="A334" s="3" t="s">
        <v>594</v>
      </c>
      <c r="B334" t="s">
        <v>333</v>
      </c>
      <c r="C334" s="2" t="s">
        <v>508</v>
      </c>
      <c r="D334" t="str">
        <f t="shared" si="5"/>
        <v>dissesti_IFFIfr_po7 (corpo di frana complesso)</v>
      </c>
      <c r="E334">
        <v>4100</v>
      </c>
    </row>
    <row r="335" spans="1:5" x14ac:dyDescent="0.3">
      <c r="A335" s="3" t="s">
        <v>594</v>
      </c>
      <c r="B335" t="s">
        <v>333</v>
      </c>
      <c r="C335" s="2" t="s">
        <v>511</v>
      </c>
      <c r="D335" t="str">
        <f t="shared" si="5"/>
        <v>dissesti_IFFIfr_po9 (aree soggette a crolli e ribaltamenti diffusi)</v>
      </c>
      <c r="E335">
        <v>1</v>
      </c>
    </row>
    <row r="336" spans="1:5" x14ac:dyDescent="0.3">
      <c r="A336" s="3" t="s">
        <v>592</v>
      </c>
      <c r="B336" t="s">
        <v>425</v>
      </c>
      <c r="C336" t="s">
        <v>334</v>
      </c>
      <c r="D336" t="str">
        <f t="shared" ref="D336:D386" si="6">_xlfn.CONCAT(A336,B336,C336)</f>
        <v>Opere_Difesa_SuoloODS_TOT_areegradonata viva</v>
      </c>
      <c r="E336">
        <v>47</v>
      </c>
    </row>
    <row r="337" spans="1:5" x14ac:dyDescent="0.3">
      <c r="A337" s="3" t="s">
        <v>592</v>
      </c>
      <c r="B337" t="s">
        <v>425</v>
      </c>
      <c r="C337" t="s">
        <v>335</v>
      </c>
      <c r="D337" t="str">
        <f t="shared" si="6"/>
        <v>Opere_Difesa_SuoloODS_TOT_areepalificata viva</v>
      </c>
      <c r="E337">
        <v>47</v>
      </c>
    </row>
    <row r="338" spans="1:5" x14ac:dyDescent="0.3">
      <c r="A338" s="3" t="s">
        <v>592</v>
      </c>
      <c r="B338" t="s">
        <v>425</v>
      </c>
      <c r="C338" t="s">
        <v>336</v>
      </c>
      <c r="D338" t="str">
        <f t="shared" si="6"/>
        <v>Opere_Difesa_SuoloODS_TOT_areebriglia di trattenuta</v>
      </c>
      <c r="E338">
        <v>18</v>
      </c>
    </row>
    <row r="339" spans="1:5" x14ac:dyDescent="0.3">
      <c r="A339" s="3" t="s">
        <v>592</v>
      </c>
      <c r="B339" t="s">
        <v>425</v>
      </c>
      <c r="C339" t="s">
        <v>337</v>
      </c>
      <c r="D339" t="str">
        <f t="shared" si="6"/>
        <v>Opere_Difesa_SuoloODS_TOT_areeviminata e palizzata viva</v>
      </c>
      <c r="E339">
        <v>176</v>
      </c>
    </row>
    <row r="340" spans="1:5" x14ac:dyDescent="0.3">
      <c r="A340" s="3" t="s">
        <v>592</v>
      </c>
      <c r="B340" t="s">
        <v>425</v>
      </c>
      <c r="C340" t="s">
        <v>338</v>
      </c>
      <c r="D340" t="str">
        <f t="shared" si="6"/>
        <v>Opere_Difesa_SuoloODS_TOT_areeterrazzamento/gradonatura</v>
      </c>
      <c r="E340">
        <v>15</v>
      </c>
    </row>
    <row r="341" spans="1:5" x14ac:dyDescent="0.3">
      <c r="A341" s="3" t="s">
        <v>592</v>
      </c>
      <c r="B341" t="s">
        <v>425</v>
      </c>
      <c r="C341" t="s">
        <v>339</v>
      </c>
      <c r="D341" t="str">
        <f t="shared" si="6"/>
        <v>Opere_Difesa_SuoloODS_TOT_areeselciatone</v>
      </c>
      <c r="E341">
        <v>1496</v>
      </c>
    </row>
    <row r="342" spans="1:5" x14ac:dyDescent="0.3">
      <c r="A342" s="3" t="s">
        <v>592</v>
      </c>
      <c r="B342" t="s">
        <v>425</v>
      </c>
      <c r="C342" t="s">
        <v>340</v>
      </c>
      <c r="D342" t="str">
        <f t="shared" si="6"/>
        <v>Opere_Difesa_SuoloODS_TOT_areeargine</v>
      </c>
      <c r="E342">
        <v>28</v>
      </c>
    </row>
    <row r="343" spans="1:5" x14ac:dyDescent="0.3">
      <c r="A343" s="3" t="s">
        <v>592</v>
      </c>
      <c r="B343" t="s">
        <v>425</v>
      </c>
      <c r="C343" t="s">
        <v>341</v>
      </c>
      <c r="D343" t="str">
        <f t="shared" si="6"/>
        <v>Opere_Difesa_SuoloODS_TOT_areecanale artificiale</v>
      </c>
      <c r="E343">
        <v>57</v>
      </c>
    </row>
    <row r="344" spans="1:5" x14ac:dyDescent="0.3">
      <c r="A344" s="3" t="s">
        <v>592</v>
      </c>
      <c r="B344" t="s">
        <v>425</v>
      </c>
      <c r="C344" t="s">
        <v>342</v>
      </c>
      <c r="D344" t="str">
        <f t="shared" si="6"/>
        <v>Opere_Difesa_SuoloODS_TOT_areebriglia filtrante</v>
      </c>
      <c r="E344">
        <v>3</v>
      </c>
    </row>
    <row r="345" spans="1:5" x14ac:dyDescent="0.3">
      <c r="A345" s="3" t="s">
        <v>592</v>
      </c>
      <c r="B345" t="s">
        <v>425</v>
      </c>
      <c r="C345" t="s">
        <v>343</v>
      </c>
      <c r="D345" t="str">
        <f t="shared" si="6"/>
        <v>Opere_Difesa_SuoloODS_TOT_areescogliera</v>
      </c>
      <c r="E345">
        <v>59</v>
      </c>
    </row>
    <row r="346" spans="1:5" x14ac:dyDescent="0.3">
      <c r="A346" s="3" t="s">
        <v>592</v>
      </c>
      <c r="B346" t="s">
        <v>425</v>
      </c>
      <c r="C346" t="s">
        <v>344</v>
      </c>
      <c r="D346" t="str">
        <f t="shared" si="6"/>
        <v>Opere_Difesa_SuoloODS_TOT_areesoglia</v>
      </c>
      <c r="E346">
        <v>44</v>
      </c>
    </row>
    <row r="347" spans="1:5" x14ac:dyDescent="0.3">
      <c r="A347" s="3" t="s">
        <v>592</v>
      </c>
      <c r="B347" t="s">
        <v>425</v>
      </c>
      <c r="C347" t="s">
        <v>345</v>
      </c>
      <c r="D347" t="str">
        <f t="shared" si="6"/>
        <v>Opere_Difesa_SuoloODS_TOT_areevasca di espansione</v>
      </c>
      <c r="E347">
        <v>34</v>
      </c>
    </row>
    <row r="348" spans="1:5" x14ac:dyDescent="0.3">
      <c r="A348" s="3" t="s">
        <v>592</v>
      </c>
      <c r="B348" t="s">
        <v>425</v>
      </c>
      <c r="C348" t="s">
        <v>346</v>
      </c>
      <c r="D348" t="str">
        <f t="shared" si="6"/>
        <v>Opere_Difesa_SuoloODS_TOT_areetombotto</v>
      </c>
      <c r="E348">
        <v>28</v>
      </c>
    </row>
    <row r="349" spans="1:5" x14ac:dyDescent="0.3">
      <c r="A349" s="3" t="s">
        <v>592</v>
      </c>
      <c r="B349" t="s">
        <v>425</v>
      </c>
      <c r="C349" t="s">
        <v>347</v>
      </c>
      <c r="D349" t="str">
        <f t="shared" si="6"/>
        <v>Opere_Difesa_SuoloODS_TOT_areemuro di terrazzamento</v>
      </c>
      <c r="E349">
        <v>4</v>
      </c>
    </row>
    <row r="350" spans="1:5" x14ac:dyDescent="0.3">
      <c r="A350" s="3" t="s">
        <v>592</v>
      </c>
      <c r="B350" t="s">
        <v>425</v>
      </c>
      <c r="C350" t="s">
        <v>348</v>
      </c>
      <c r="D350" t="str">
        <f t="shared" si="6"/>
        <v>Opere_Difesa_SuoloODS_TOT_areemuratura</v>
      </c>
      <c r="E350">
        <v>15</v>
      </c>
    </row>
    <row r="351" spans="1:5" x14ac:dyDescent="0.3">
      <c r="A351" s="3" t="s">
        <v>592</v>
      </c>
      <c r="B351" t="s">
        <v>425</v>
      </c>
      <c r="C351" t="s">
        <v>349</v>
      </c>
      <c r="D351" t="str">
        <f t="shared" si="6"/>
        <v>Opere_Difesa_SuoloODS_TOT_areemovimento terra</v>
      </c>
      <c r="E351">
        <v>394</v>
      </c>
    </row>
    <row r="352" spans="1:5" x14ac:dyDescent="0.3">
      <c r="A352" s="3" t="s">
        <v>592</v>
      </c>
      <c r="B352" t="s">
        <v>425</v>
      </c>
      <c r="C352" t="s">
        <v>350</v>
      </c>
      <c r="D352" t="str">
        <f t="shared" si="6"/>
        <v>Opere_Difesa_SuoloODS_TOT_areerisagomatura alveo</v>
      </c>
      <c r="E352">
        <v>145</v>
      </c>
    </row>
    <row r="353" spans="1:5" x14ac:dyDescent="0.3">
      <c r="A353" s="3" t="s">
        <v>592</v>
      </c>
      <c r="B353" t="s">
        <v>425</v>
      </c>
      <c r="C353" t="s">
        <v>351</v>
      </c>
      <c r="D353" t="str">
        <f t="shared" si="6"/>
        <v>Opere_Difesa_SuoloODS_TOT_areerilevato paramassi</v>
      </c>
      <c r="E353">
        <v>9</v>
      </c>
    </row>
    <row r="354" spans="1:5" x14ac:dyDescent="0.3">
      <c r="A354" s="3" t="s">
        <v>592</v>
      </c>
      <c r="B354" t="s">
        <v>425</v>
      </c>
      <c r="C354" t="s">
        <v>352</v>
      </c>
      <c r="D354" t="str">
        <f t="shared" si="6"/>
        <v>Opere_Difesa_SuoloODS_TOT_areerete</v>
      </c>
      <c r="E354">
        <v>417</v>
      </c>
    </row>
    <row r="355" spans="1:5" x14ac:dyDescent="0.3">
      <c r="A355" s="3" t="s">
        <v>592</v>
      </c>
      <c r="B355" t="s">
        <v>425</v>
      </c>
      <c r="C355" t="s">
        <v>353</v>
      </c>
      <c r="D355" t="str">
        <f t="shared" si="6"/>
        <v>Opere_Difesa_SuoloODS_TOT_areeancoraggio-tiranti</v>
      </c>
      <c r="E355">
        <v>37</v>
      </c>
    </row>
    <row r="356" spans="1:5" x14ac:dyDescent="0.3">
      <c r="A356" s="3" t="s">
        <v>592</v>
      </c>
      <c r="B356" t="s">
        <v>425</v>
      </c>
      <c r="C356" t="s">
        <v>354</v>
      </c>
      <c r="D356" t="str">
        <f t="shared" si="6"/>
        <v>Opere_Difesa_SuoloODS_TOT_areeimbracatura</v>
      </c>
      <c r="E356">
        <v>1</v>
      </c>
    </row>
    <row r="357" spans="1:5" x14ac:dyDescent="0.3">
      <c r="A357" s="3" t="s">
        <v>592</v>
      </c>
      <c r="B357" t="s">
        <v>425</v>
      </c>
      <c r="C357" t="s">
        <v>355</v>
      </c>
      <c r="D357" t="str">
        <f t="shared" si="6"/>
        <v>Opere_Difesa_SuoloODS_TOT_areeimpermeabilizzazione</v>
      </c>
      <c r="E357">
        <v>4</v>
      </c>
    </row>
    <row r="358" spans="1:5" x14ac:dyDescent="0.3">
      <c r="A358" s="3" t="s">
        <v>592</v>
      </c>
      <c r="B358" t="s">
        <v>425</v>
      </c>
      <c r="C358" t="s">
        <v>356</v>
      </c>
      <c r="D358" t="str">
        <f t="shared" si="6"/>
        <v>Opere_Difesa_SuoloODS_TOT_areevallo/rilevato</v>
      </c>
      <c r="E358">
        <v>5</v>
      </c>
    </row>
    <row r="359" spans="1:5" x14ac:dyDescent="0.3">
      <c r="A359" s="3" t="s">
        <v>592</v>
      </c>
      <c r="B359" t="s">
        <v>425</v>
      </c>
      <c r="C359" t="s">
        <v>357</v>
      </c>
      <c r="D359" t="str">
        <f t="shared" si="6"/>
        <v>Opere_Difesa_SuoloODS_TOT_areeterra armata/rinforzata</v>
      </c>
      <c r="E359">
        <v>73</v>
      </c>
    </row>
    <row r="360" spans="1:5" x14ac:dyDescent="0.3">
      <c r="A360" s="3" t="s">
        <v>592</v>
      </c>
      <c r="B360" t="s">
        <v>425</v>
      </c>
      <c r="C360" t="s">
        <v>358</v>
      </c>
      <c r="D360" t="str">
        <f t="shared" si="6"/>
        <v>Opere_Difesa_SuoloODS_TOT_areediga</v>
      </c>
      <c r="E360">
        <v>1</v>
      </c>
    </row>
    <row r="361" spans="1:5" x14ac:dyDescent="0.3">
      <c r="A361" s="3" t="s">
        <v>592</v>
      </c>
      <c r="B361" t="s">
        <v>425</v>
      </c>
      <c r="C361" t="s">
        <v>359</v>
      </c>
      <c r="D361" t="str">
        <f t="shared" si="6"/>
        <v>Opere_Difesa_SuoloODS_TOT_areeponte da neve</v>
      </c>
      <c r="E361">
        <v>42</v>
      </c>
    </row>
    <row r="362" spans="1:5" x14ac:dyDescent="0.3">
      <c r="A362" s="3" t="s">
        <v>592</v>
      </c>
      <c r="B362" t="s">
        <v>425</v>
      </c>
      <c r="C362" t="s">
        <v>360</v>
      </c>
      <c r="D362" t="str">
        <f t="shared" si="6"/>
        <v>Opere_Difesa_SuoloODS_TOT_areedisgaggio</v>
      </c>
      <c r="E362">
        <v>203</v>
      </c>
    </row>
    <row r="363" spans="1:5" x14ac:dyDescent="0.3">
      <c r="A363" s="3" t="s">
        <v>592</v>
      </c>
      <c r="B363" t="s">
        <v>425</v>
      </c>
      <c r="C363" t="s">
        <v>361</v>
      </c>
      <c r="D363" t="str">
        <f t="shared" si="6"/>
        <v>Opere_Difesa_SuoloODS_TOT_areemira topografica</v>
      </c>
      <c r="E363">
        <v>4</v>
      </c>
    </row>
    <row r="364" spans="1:5" x14ac:dyDescent="0.3">
      <c r="A364" s="3" t="s">
        <v>592</v>
      </c>
      <c r="B364" t="s">
        <v>425</v>
      </c>
      <c r="C364" t="s">
        <v>362</v>
      </c>
      <c r="D364" t="str">
        <f t="shared" si="6"/>
        <v>Opere_Difesa_SuoloODS_TOT_areeinerbimento</v>
      </c>
      <c r="E364">
        <v>314</v>
      </c>
    </row>
    <row r="365" spans="1:5" x14ac:dyDescent="0.3">
      <c r="A365" s="3" t="s">
        <v>592</v>
      </c>
      <c r="B365" t="s">
        <v>425</v>
      </c>
      <c r="C365" t="s">
        <v>363</v>
      </c>
      <c r="D365" t="str">
        <f t="shared" si="6"/>
        <v>Opere_Difesa_SuoloODS_TOT_areesvaso</v>
      </c>
      <c r="E365">
        <v>180</v>
      </c>
    </row>
    <row r="366" spans="1:5" x14ac:dyDescent="0.3">
      <c r="A366" s="3" t="s">
        <v>592</v>
      </c>
      <c r="B366" t="s">
        <v>425</v>
      </c>
      <c r="C366" t="s">
        <v>364</v>
      </c>
      <c r="D366" t="str">
        <f t="shared" si="6"/>
        <v>Opere_Difesa_SuoloODS_TOT_areetombinatura</v>
      </c>
      <c r="E366">
        <v>5</v>
      </c>
    </row>
    <row r="367" spans="1:5" x14ac:dyDescent="0.3">
      <c r="A367" s="3" t="s">
        <v>592</v>
      </c>
      <c r="B367" t="s">
        <v>425</v>
      </c>
      <c r="C367" t="s">
        <v>365</v>
      </c>
      <c r="D367" t="str">
        <f t="shared" si="6"/>
        <v>Opere_Difesa_SuoloODS_TOT_areegrata viva</v>
      </c>
      <c r="E367">
        <v>55</v>
      </c>
    </row>
    <row r="368" spans="1:5" x14ac:dyDescent="0.3">
      <c r="A368" s="3" t="s">
        <v>592</v>
      </c>
      <c r="B368" t="s">
        <v>425</v>
      </c>
      <c r="C368" t="s">
        <v>366</v>
      </c>
      <c r="D368" t="str">
        <f t="shared" si="6"/>
        <v>Opere_Difesa_SuoloODS_TOT_areedrenaggio superficiale</v>
      </c>
      <c r="E368">
        <v>12</v>
      </c>
    </row>
    <row r="369" spans="1:5" x14ac:dyDescent="0.3">
      <c r="A369" s="3" t="s">
        <v>592</v>
      </c>
      <c r="B369" t="s">
        <v>425</v>
      </c>
      <c r="C369" t="s">
        <v>367</v>
      </c>
      <c r="D369" t="str">
        <f t="shared" si="6"/>
        <v>Opere_Difesa_SuoloODS_TOT_areecunettone</v>
      </c>
      <c r="E369">
        <v>40</v>
      </c>
    </row>
    <row r="370" spans="1:5" x14ac:dyDescent="0.3">
      <c r="A370" s="3" t="s">
        <v>592</v>
      </c>
      <c r="B370" t="s">
        <v>425</v>
      </c>
      <c r="C370" t="s">
        <v>368</v>
      </c>
      <c r="D370" t="str">
        <f t="shared" si="6"/>
        <v>Opere_Difesa_SuoloODS_TOT_areefascinata viva</v>
      </c>
      <c r="E370">
        <v>51</v>
      </c>
    </row>
    <row r="371" spans="1:5" x14ac:dyDescent="0.3">
      <c r="A371" s="3" t="s">
        <v>592</v>
      </c>
      <c r="B371" t="s">
        <v>425</v>
      </c>
      <c r="C371" t="s">
        <v>369</v>
      </c>
      <c r="D371" t="str">
        <f t="shared" si="6"/>
        <v>Opere_Difesa_SuoloODS_TOT_areeombrello da neve</v>
      </c>
      <c r="E371">
        <v>1</v>
      </c>
    </row>
    <row r="372" spans="1:5" x14ac:dyDescent="0.3">
      <c r="A372" s="3" t="s">
        <v>592</v>
      </c>
      <c r="B372" t="s">
        <v>425</v>
      </c>
      <c r="C372" t="s">
        <v>370</v>
      </c>
      <c r="D372" t="str">
        <f t="shared" si="6"/>
        <v>Opere_Difesa_SuoloODS_TOT_areedrenaggio profondo</v>
      </c>
      <c r="E372">
        <v>28</v>
      </c>
    </row>
    <row r="373" spans="1:5" x14ac:dyDescent="0.3">
      <c r="A373" s="3" t="s">
        <v>592</v>
      </c>
      <c r="B373" t="s">
        <v>425</v>
      </c>
      <c r="C373" t="s">
        <v>371</v>
      </c>
      <c r="D373" t="str">
        <f t="shared" si="6"/>
        <v>Opere_Difesa_SuoloODS_TOT_areegabbionata</v>
      </c>
      <c r="E373">
        <v>70</v>
      </c>
    </row>
    <row r="374" spans="1:5" x14ac:dyDescent="0.3">
      <c r="A374" s="3" t="s">
        <v>592</v>
      </c>
      <c r="B374" t="s">
        <v>425</v>
      </c>
      <c r="C374" t="s">
        <v>372</v>
      </c>
      <c r="D374" t="str">
        <f t="shared" si="6"/>
        <v>Opere_Difesa_SuoloODS_TOT_areerivestimento antierosivo sintetico</v>
      </c>
      <c r="E374">
        <v>34</v>
      </c>
    </row>
    <row r="375" spans="1:5" x14ac:dyDescent="0.3">
      <c r="A375" s="3" t="s">
        <v>592</v>
      </c>
      <c r="B375" t="s">
        <v>425</v>
      </c>
      <c r="C375" t="s">
        <v>373</v>
      </c>
      <c r="D375" t="str">
        <f t="shared" si="6"/>
        <v>Opere_Difesa_SuoloODS_TOT_areemuro</v>
      </c>
      <c r="E375">
        <v>22</v>
      </c>
    </row>
    <row r="376" spans="1:5" x14ac:dyDescent="0.3">
      <c r="A376" s="3" t="s">
        <v>592</v>
      </c>
      <c r="B376" t="s">
        <v>425</v>
      </c>
      <c r="C376" t="s">
        <v>374</v>
      </c>
      <c r="D376" t="str">
        <f t="shared" si="6"/>
        <v>Opere_Difesa_SuoloODS_TOT_areevasca di accumulo</v>
      </c>
      <c r="E376">
        <v>135</v>
      </c>
    </row>
    <row r="377" spans="1:5" x14ac:dyDescent="0.3">
      <c r="A377" s="3" t="s">
        <v>592</v>
      </c>
      <c r="B377" t="s">
        <v>425</v>
      </c>
      <c r="C377" t="s">
        <v>375</v>
      </c>
      <c r="D377" t="str">
        <f t="shared" si="6"/>
        <v>Opere_Difesa_SuoloODS_TOT_areerete paramassi</v>
      </c>
      <c r="E377">
        <v>47</v>
      </c>
    </row>
    <row r="378" spans="1:5" x14ac:dyDescent="0.3">
      <c r="A378" s="3" t="s">
        <v>592</v>
      </c>
      <c r="B378" t="s">
        <v>425</v>
      </c>
      <c r="C378" t="s">
        <v>376</v>
      </c>
      <c r="D378" t="str">
        <f t="shared" si="6"/>
        <v>Opere_Difesa_SuoloODS_TOT_areerilevato/vallo paramassi</v>
      </c>
      <c r="E378">
        <v>8</v>
      </c>
    </row>
    <row r="379" spans="1:5" x14ac:dyDescent="0.3">
      <c r="A379" s="3" t="s">
        <v>592</v>
      </c>
      <c r="B379" t="s">
        <v>425</v>
      </c>
      <c r="C379" t="s">
        <v>377</v>
      </c>
      <c r="D379" t="str">
        <f t="shared" si="6"/>
        <v>Opere_Difesa_SuoloODS_TOT_areepiantumazione</v>
      </c>
      <c r="E379">
        <v>44</v>
      </c>
    </row>
    <row r="380" spans="1:5" x14ac:dyDescent="0.3">
      <c r="A380" s="3" t="s">
        <v>592</v>
      </c>
      <c r="B380" t="s">
        <v>425</v>
      </c>
      <c r="C380" t="s">
        <v>378</v>
      </c>
      <c r="D380" t="str">
        <f t="shared" si="6"/>
        <v>Opere_Difesa_SuoloODS_TOT_areecanaletta</v>
      </c>
      <c r="E380">
        <v>36</v>
      </c>
    </row>
    <row r="381" spans="1:5" x14ac:dyDescent="0.3">
      <c r="A381" s="3" t="s">
        <v>592</v>
      </c>
      <c r="B381" t="s">
        <v>425</v>
      </c>
      <c r="C381" t="s">
        <v>379</v>
      </c>
      <c r="D381" t="str">
        <f t="shared" si="6"/>
        <v>Opere_Difesa_SuoloODS_TOT_areerivestimento antierosivo biodegradabile</v>
      </c>
      <c r="E381">
        <v>101</v>
      </c>
    </row>
    <row r="382" spans="1:5" x14ac:dyDescent="0.3">
      <c r="A382" s="3" t="s">
        <v>592</v>
      </c>
      <c r="B382" t="s">
        <v>425</v>
      </c>
      <c r="C382" t="s">
        <v>380</v>
      </c>
      <c r="D382" t="str">
        <f t="shared" si="6"/>
        <v>Opere_Difesa_SuoloODS_TOT_areerimboschimento</v>
      </c>
      <c r="E382">
        <v>69</v>
      </c>
    </row>
    <row r="383" spans="1:5" x14ac:dyDescent="0.3">
      <c r="A383" s="3" t="s">
        <v>592</v>
      </c>
      <c r="B383" t="s">
        <v>425</v>
      </c>
      <c r="C383" t="s">
        <v>381</v>
      </c>
      <c r="D383" t="str">
        <f t="shared" si="6"/>
        <v>Opere_Difesa_SuoloODS_TOT_areedemolizione</v>
      </c>
      <c r="E383">
        <v>24</v>
      </c>
    </row>
    <row r="384" spans="1:5" x14ac:dyDescent="0.3">
      <c r="A384" s="3" t="s">
        <v>592</v>
      </c>
      <c r="B384" t="s">
        <v>425</v>
      </c>
      <c r="C384" t="s">
        <v>382</v>
      </c>
      <c r="D384" t="str">
        <f t="shared" si="6"/>
        <v>Opere_Difesa_SuoloODS_TOT_areesvaso/pulizia alveo</v>
      </c>
      <c r="E384">
        <v>118</v>
      </c>
    </row>
    <row r="385" spans="1:5" x14ac:dyDescent="0.3">
      <c r="A385" s="3" t="s">
        <v>592</v>
      </c>
      <c r="B385" t="s">
        <v>425</v>
      </c>
      <c r="C385" t="s">
        <v>383</v>
      </c>
      <c r="D385" t="str">
        <f t="shared" si="6"/>
        <v>Opere_Difesa_SuoloODS_TOT_areecassa/vasca d'espansione</v>
      </c>
      <c r="E385">
        <v>4</v>
      </c>
    </row>
    <row r="386" spans="1:5" x14ac:dyDescent="0.3">
      <c r="A386" s="3" t="s">
        <v>592</v>
      </c>
      <c r="B386" t="s">
        <v>425</v>
      </c>
      <c r="C386" t="s">
        <v>384</v>
      </c>
      <c r="D386" t="str">
        <f t="shared" si="6"/>
        <v>Opere_Difesa_SuoloODS_TOT_areedreni sub-orizzontali</v>
      </c>
      <c r="E386">
        <v>6</v>
      </c>
    </row>
    <row r="387" spans="1:5" x14ac:dyDescent="0.3">
      <c r="A387" s="3" t="s">
        <v>592</v>
      </c>
      <c r="B387" t="s">
        <v>425</v>
      </c>
      <c r="C387" t="s">
        <v>385</v>
      </c>
      <c r="D387" t="str">
        <f t="shared" ref="D387:D450" si="7">_xlfn.CONCAT(A387,B387,C387)</f>
        <v>Opere_Difesa_SuoloODS_TOT_areegalleria</v>
      </c>
      <c r="E387">
        <v>1</v>
      </c>
    </row>
    <row r="388" spans="1:5" x14ac:dyDescent="0.3">
      <c r="A388" s="3" t="s">
        <v>592</v>
      </c>
      <c r="B388" t="s">
        <v>425</v>
      </c>
      <c r="C388" t="s">
        <v>386</v>
      </c>
      <c r="D388" t="str">
        <f t="shared" si="7"/>
        <v>Opere_Difesa_SuoloODS_TOT_areerete da neve</v>
      </c>
      <c r="E388">
        <v>13</v>
      </c>
    </row>
    <row r="389" spans="1:5" x14ac:dyDescent="0.3">
      <c r="A389" s="3" t="s">
        <v>592</v>
      </c>
      <c r="B389" t="s">
        <v>425</v>
      </c>
      <c r="C389" t="s">
        <v>387</v>
      </c>
      <c r="D389" t="str">
        <f t="shared" si="7"/>
        <v>Opere_Difesa_SuoloODS_TOT_areefrangivento</v>
      </c>
      <c r="E389">
        <v>11</v>
      </c>
    </row>
    <row r="390" spans="1:5" x14ac:dyDescent="0.3">
      <c r="A390" s="3" t="s">
        <v>592</v>
      </c>
      <c r="B390" t="s">
        <v>425</v>
      </c>
      <c r="C390" t="s">
        <v>388</v>
      </c>
      <c r="D390" t="str">
        <f t="shared" si="7"/>
        <v>Opere_Difesa_SuoloODS_TOT_areeponte</v>
      </c>
      <c r="E390">
        <v>12</v>
      </c>
    </row>
    <row r="391" spans="1:5" x14ac:dyDescent="0.3">
      <c r="A391" s="3" t="s">
        <v>592</v>
      </c>
      <c r="B391" t="s">
        <v>425</v>
      </c>
      <c r="C391" t="s">
        <v>389</v>
      </c>
      <c r="D391" t="str">
        <f t="shared" si="7"/>
        <v>Opere_Difesa_SuoloODS_TOT_areeancoraggio/tiranti</v>
      </c>
      <c r="E391">
        <v>4</v>
      </c>
    </row>
    <row r="392" spans="1:5" x14ac:dyDescent="0.3">
      <c r="A392" s="3" t="s">
        <v>592</v>
      </c>
      <c r="B392" t="s">
        <v>425</v>
      </c>
      <c r="C392" t="s">
        <v>390</v>
      </c>
      <c r="D392" t="str">
        <f t="shared" si="7"/>
        <v>Opere_Difesa_SuoloODS_TOT_areebarriera a funi parallele</v>
      </c>
      <c r="E392">
        <v>3</v>
      </c>
    </row>
    <row r="393" spans="1:5" x14ac:dyDescent="0.3">
      <c r="A393" s="3" t="s">
        <v>592</v>
      </c>
      <c r="B393" t="s">
        <v>425</v>
      </c>
      <c r="C393" t="s">
        <v>391</v>
      </c>
      <c r="D393" t="str">
        <f t="shared" si="7"/>
        <v>Opere_Difesa_SuoloODS_TOT_areescoronamento</v>
      </c>
      <c r="E393">
        <v>74</v>
      </c>
    </row>
    <row r="394" spans="1:5" x14ac:dyDescent="0.3">
      <c r="A394" s="3" t="s">
        <v>592</v>
      </c>
      <c r="B394" t="s">
        <v>425</v>
      </c>
      <c r="C394" t="s">
        <v>392</v>
      </c>
      <c r="D394" t="str">
        <f t="shared" si="7"/>
        <v>Opere_Difesa_SuoloODS_TOT_areetrincea drenante</v>
      </c>
      <c r="E394">
        <v>15</v>
      </c>
    </row>
    <row r="395" spans="1:5" x14ac:dyDescent="0.3">
      <c r="A395" s="3" t="s">
        <v>592</v>
      </c>
      <c r="B395" t="s">
        <v>425</v>
      </c>
      <c r="C395" t="s">
        <v>393</v>
      </c>
      <c r="D395" t="str">
        <f t="shared" si="7"/>
        <v>Opere_Difesa_SuoloODS_TOT_areedisboscamento</v>
      </c>
      <c r="E395">
        <v>122</v>
      </c>
    </row>
    <row r="396" spans="1:5" x14ac:dyDescent="0.3">
      <c r="A396" s="3" t="s">
        <v>592</v>
      </c>
      <c r="B396" t="s">
        <v>425</v>
      </c>
      <c r="C396" t="s">
        <v>394</v>
      </c>
      <c r="D396" t="str">
        <f t="shared" si="7"/>
        <v>Opere_Difesa_SuoloODS_TOT_areebriglia</v>
      </c>
      <c r="E396">
        <v>11</v>
      </c>
    </row>
    <row r="397" spans="1:5" x14ac:dyDescent="0.3">
      <c r="A397" s="3" t="s">
        <v>592</v>
      </c>
      <c r="B397" t="s">
        <v>425</v>
      </c>
      <c r="C397" t="s">
        <v>395</v>
      </c>
      <c r="D397" t="str">
        <f t="shared" si="7"/>
        <v>Opere_Difesa_SuoloODS_TOT_areebarriera</v>
      </c>
      <c r="E397">
        <v>8</v>
      </c>
    </row>
    <row r="398" spans="1:5" x14ac:dyDescent="0.3">
      <c r="A398" s="3" t="s">
        <v>592</v>
      </c>
      <c r="B398" t="s">
        <v>425</v>
      </c>
      <c r="C398" t="s">
        <v>396</v>
      </c>
      <c r="D398" t="str">
        <f t="shared" si="7"/>
        <v>Opere_Difesa_SuoloODS_TOT_areepali</v>
      </c>
      <c r="E398">
        <v>6</v>
      </c>
    </row>
    <row r="399" spans="1:5" x14ac:dyDescent="0.3">
      <c r="A399" s="3" t="s">
        <v>592</v>
      </c>
      <c r="B399" t="s">
        <v>425</v>
      </c>
      <c r="C399" t="s">
        <v>397</v>
      </c>
      <c r="D399" t="str">
        <f t="shared" si="7"/>
        <v>Opere_Difesa_SuoloODS_TOT_areecuneo filtrante</v>
      </c>
      <c r="E399">
        <v>1</v>
      </c>
    </row>
    <row r="400" spans="1:5" x14ac:dyDescent="0.3">
      <c r="A400" s="3" t="s">
        <v>592</v>
      </c>
      <c r="B400" t="s">
        <v>425</v>
      </c>
      <c r="C400" t="s">
        <v>398</v>
      </c>
      <c r="D400" t="str">
        <f t="shared" si="7"/>
        <v>Opere_Difesa_SuoloODS_TOT_areecordonata</v>
      </c>
      <c r="E400">
        <v>13</v>
      </c>
    </row>
    <row r="401" spans="1:5" x14ac:dyDescent="0.3">
      <c r="A401" s="3" t="s">
        <v>592</v>
      </c>
      <c r="B401" t="s">
        <v>425</v>
      </c>
      <c r="C401" t="s">
        <v>399</v>
      </c>
      <c r="D401" t="str">
        <f t="shared" si="7"/>
        <v>Opere_Difesa_SuoloODS_TOT_areeterrazzamenti/gradonature</v>
      </c>
      <c r="E401">
        <v>4</v>
      </c>
    </row>
    <row r="402" spans="1:5" x14ac:dyDescent="0.3">
      <c r="A402" s="3" t="s">
        <v>592</v>
      </c>
      <c r="B402" t="s">
        <v>425</v>
      </c>
      <c r="C402" t="s">
        <v>400</v>
      </c>
      <c r="D402" t="str">
        <f t="shared" si="7"/>
        <v>Opere_Difesa_SuoloODS_TOT_areereticolo micropali</v>
      </c>
      <c r="E402">
        <v>2</v>
      </c>
    </row>
    <row r="403" spans="1:5" x14ac:dyDescent="0.3">
      <c r="A403" s="3" t="s">
        <v>592</v>
      </c>
      <c r="B403" t="s">
        <v>425</v>
      </c>
      <c r="C403" t="s">
        <v>401</v>
      </c>
      <c r="D403" t="str">
        <f t="shared" si="7"/>
        <v>Opere_Difesa_SuoloODS_TOT_areepiezometro</v>
      </c>
      <c r="E403">
        <v>2</v>
      </c>
    </row>
    <row r="404" spans="1:5" x14ac:dyDescent="0.3">
      <c r="A404" s="3" t="s">
        <v>592</v>
      </c>
      <c r="B404" t="s">
        <v>425</v>
      </c>
      <c r="C404" t="s">
        <v>402</v>
      </c>
      <c r="D404" t="str">
        <f t="shared" si="7"/>
        <v>Opere_Difesa_SuoloODS_TOT_areedrenaggio sub-orizzontale</v>
      </c>
      <c r="E404">
        <v>44</v>
      </c>
    </row>
    <row r="405" spans="1:5" x14ac:dyDescent="0.3">
      <c r="A405" s="3" t="s">
        <v>592</v>
      </c>
      <c r="B405" t="s">
        <v>425</v>
      </c>
      <c r="C405" t="s">
        <v>403</v>
      </c>
      <c r="D405" t="str">
        <f t="shared" si="7"/>
        <v>Opere_Difesa_SuoloODS_TOT_areesperoni drenanti</v>
      </c>
      <c r="E405">
        <v>1</v>
      </c>
    </row>
    <row r="406" spans="1:5" x14ac:dyDescent="0.3">
      <c r="A406" s="3" t="s">
        <v>592</v>
      </c>
      <c r="B406" t="s">
        <v>425</v>
      </c>
      <c r="C406" t="s">
        <v>404</v>
      </c>
      <c r="D406" t="str">
        <f t="shared" si="7"/>
        <v>Opere_Difesa_SuoloODS_TOT_areecassa d'espansione</v>
      </c>
      <c r="E406">
        <v>3</v>
      </c>
    </row>
    <row r="407" spans="1:5" x14ac:dyDescent="0.3">
      <c r="A407" s="3" t="s">
        <v>592</v>
      </c>
      <c r="B407" t="s">
        <v>425</v>
      </c>
      <c r="C407" t="s">
        <v>405</v>
      </c>
      <c r="D407" t="str">
        <f t="shared" si="7"/>
        <v>Opere_Difesa_SuoloODS_TOT_areesondaggio geognostico</v>
      </c>
      <c r="E407">
        <v>22</v>
      </c>
    </row>
    <row r="408" spans="1:5" x14ac:dyDescent="0.3">
      <c r="A408" s="3" t="s">
        <v>592</v>
      </c>
      <c r="B408" t="s">
        <v>425</v>
      </c>
      <c r="C408" t="s">
        <v>406</v>
      </c>
      <c r="D408" t="str">
        <f t="shared" si="7"/>
        <v>Opere_Difesa_SuoloODS_TOT_areerastrelliera</v>
      </c>
      <c r="E408">
        <v>9</v>
      </c>
    </row>
    <row r="409" spans="1:5" x14ac:dyDescent="0.3">
      <c r="A409" s="3" t="s">
        <v>592</v>
      </c>
      <c r="B409" t="s">
        <v>425</v>
      </c>
      <c r="C409" t="s">
        <v>407</v>
      </c>
      <c r="D409" t="str">
        <f t="shared" si="7"/>
        <v>Opere_Difesa_SuoloODS_TOT_areegalleria paramassi</v>
      </c>
      <c r="E409">
        <v>15</v>
      </c>
    </row>
    <row r="410" spans="1:5" x14ac:dyDescent="0.3">
      <c r="A410" s="3" t="s">
        <v>592</v>
      </c>
      <c r="B410" t="s">
        <v>425</v>
      </c>
      <c r="C410" t="s">
        <v>408</v>
      </c>
      <c r="D410" t="str">
        <f t="shared" si="7"/>
        <v>Opere_Difesa_SuoloODS_TOT_areesottomurazione</v>
      </c>
      <c r="E410">
        <v>5</v>
      </c>
    </row>
    <row r="411" spans="1:5" x14ac:dyDescent="0.3">
      <c r="A411" s="3" t="s">
        <v>592</v>
      </c>
      <c r="B411" t="s">
        <v>425</v>
      </c>
      <c r="C411" t="s">
        <v>409</v>
      </c>
      <c r="D411" t="str">
        <f t="shared" si="7"/>
        <v>Opere_Difesa_SuoloODS_TOT_areedrenaggio</v>
      </c>
      <c r="E411">
        <v>16</v>
      </c>
    </row>
    <row r="412" spans="1:5" x14ac:dyDescent="0.3">
      <c r="A412" s="3" t="s">
        <v>592</v>
      </c>
      <c r="B412" t="s">
        <v>425</v>
      </c>
      <c r="C412" t="s">
        <v>410</v>
      </c>
      <c r="D412" t="str">
        <f t="shared" si="7"/>
        <v>Opere_Difesa_SuoloODS_TOT_areemuro/argine</v>
      </c>
      <c r="E412">
        <v>16</v>
      </c>
    </row>
    <row r="413" spans="1:5" x14ac:dyDescent="0.3">
      <c r="A413" s="3" t="s">
        <v>592</v>
      </c>
      <c r="B413" t="s">
        <v>425</v>
      </c>
      <c r="C413" t="s">
        <v>411</v>
      </c>
      <c r="D413" t="str">
        <f t="shared" si="7"/>
        <v>Opere_Difesa_SuoloODS_TOT_areeiniezione/jet grouting</v>
      </c>
      <c r="E413">
        <v>2</v>
      </c>
    </row>
    <row r="414" spans="1:5" x14ac:dyDescent="0.3">
      <c r="A414" s="3" t="s">
        <v>592</v>
      </c>
      <c r="B414" t="s">
        <v>425</v>
      </c>
      <c r="C414" t="s">
        <v>412</v>
      </c>
      <c r="D414" t="str">
        <f t="shared" si="7"/>
        <v>Opere_Difesa_SuoloODS_TOT_areevallo/rilevato caduta massi</v>
      </c>
      <c r="E414">
        <v>1</v>
      </c>
    </row>
    <row r="415" spans="1:5" x14ac:dyDescent="0.3">
      <c r="A415" s="3" t="s">
        <v>592</v>
      </c>
      <c r="B415" t="s">
        <v>425</v>
      </c>
      <c r="C415" t="s">
        <v>413</v>
      </c>
      <c r="D415" t="str">
        <f t="shared" si="7"/>
        <v>Opere_Difesa_SuoloODS_TOT_areemuro in cemento armato</v>
      </c>
      <c r="E415">
        <v>3</v>
      </c>
    </row>
    <row r="416" spans="1:5" x14ac:dyDescent="0.3">
      <c r="A416" s="3" t="s">
        <v>592</v>
      </c>
      <c r="B416" t="s">
        <v>425</v>
      </c>
      <c r="C416" t="s">
        <v>414</v>
      </c>
      <c r="D416" t="str">
        <f t="shared" si="7"/>
        <v>Opere_Difesa_SuoloODS_TOT_areemuro cellulare</v>
      </c>
      <c r="E416">
        <v>1</v>
      </c>
    </row>
    <row r="417" spans="1:5" x14ac:dyDescent="0.3">
      <c r="A417" s="3" t="s">
        <v>592</v>
      </c>
      <c r="B417" t="s">
        <v>425</v>
      </c>
      <c r="C417" t="s">
        <v>415</v>
      </c>
      <c r="D417" t="str">
        <f t="shared" si="7"/>
        <v>Opere_Difesa_SuoloODS_TOT_areeopera di presa/restituzione</v>
      </c>
      <c r="E417">
        <v>1</v>
      </c>
    </row>
    <row r="418" spans="1:5" x14ac:dyDescent="0.3">
      <c r="A418" s="3" t="s">
        <v>592</v>
      </c>
      <c r="B418" t="s">
        <v>425</v>
      </c>
      <c r="C418" t="s">
        <v>416</v>
      </c>
      <c r="D418" t="str">
        <f t="shared" si="7"/>
        <v>Opere_Difesa_SuoloODS_TOT_areespritz beton</v>
      </c>
      <c r="E418">
        <v>2</v>
      </c>
    </row>
    <row r="419" spans="1:5" x14ac:dyDescent="0.3">
      <c r="A419" s="3" t="s">
        <v>592</v>
      </c>
      <c r="B419" t="s">
        <v>425</v>
      </c>
      <c r="C419" t="s">
        <v>417</v>
      </c>
      <c r="D419" t="str">
        <f t="shared" si="7"/>
        <v>Opere_Difesa_SuoloODS_TOT_areeterrapieno</v>
      </c>
      <c r="E419">
        <v>1</v>
      </c>
    </row>
    <row r="420" spans="1:5" x14ac:dyDescent="0.3">
      <c r="A420" s="3" t="s">
        <v>592</v>
      </c>
      <c r="B420" t="s">
        <v>425</v>
      </c>
      <c r="C420" t="s">
        <v>418</v>
      </c>
      <c r="D420" t="str">
        <f t="shared" si="7"/>
        <v>Opere_Difesa_SuoloODS_TOT_areepozzo drenante</v>
      </c>
      <c r="E420">
        <v>1</v>
      </c>
    </row>
    <row r="421" spans="1:5" x14ac:dyDescent="0.3">
      <c r="A421" s="3" t="s">
        <v>592</v>
      </c>
      <c r="B421" t="s">
        <v>425</v>
      </c>
      <c r="C421" t="s">
        <v>419</v>
      </c>
      <c r="D421" t="str">
        <f t="shared" si="7"/>
        <v>Opere_Difesa_SuoloODS_TOT_areepennello</v>
      </c>
      <c r="E421">
        <v>1</v>
      </c>
    </row>
    <row r="422" spans="1:5" x14ac:dyDescent="0.3">
      <c r="A422" s="3" t="s">
        <v>592</v>
      </c>
      <c r="B422" t="s">
        <v>425</v>
      </c>
      <c r="C422" t="s">
        <v>420</v>
      </c>
      <c r="D422" t="str">
        <f t="shared" si="7"/>
        <v>Opere_Difesa_SuoloODS_TOT_areetrincea paramassi</v>
      </c>
      <c r="E422">
        <v>2</v>
      </c>
    </row>
    <row r="423" spans="1:5" x14ac:dyDescent="0.3">
      <c r="A423" s="3" t="s">
        <v>592</v>
      </c>
      <c r="B423" t="s">
        <v>425</v>
      </c>
      <c r="C423" t="s">
        <v>421</v>
      </c>
      <c r="D423" t="str">
        <f t="shared" si="7"/>
        <v>Opere_Difesa_SuoloODS_TOT_areemuro a secco</v>
      </c>
      <c r="E423">
        <v>1</v>
      </c>
    </row>
    <row r="424" spans="1:5" x14ac:dyDescent="0.3">
      <c r="A424" s="3" t="s">
        <v>592</v>
      </c>
      <c r="B424" t="s">
        <v>425</v>
      </c>
      <c r="C424" t="s">
        <v>422</v>
      </c>
      <c r="D424" t="str">
        <f t="shared" si="7"/>
        <v>Opere_Difesa_SuoloODS_TOT_areerete elastoplastica</v>
      </c>
      <c r="E424">
        <v>12</v>
      </c>
    </row>
    <row r="425" spans="1:5" x14ac:dyDescent="0.3">
      <c r="A425" s="3" t="s">
        <v>592</v>
      </c>
      <c r="B425" t="s">
        <v>425</v>
      </c>
      <c r="C425" t="s">
        <v>423</v>
      </c>
      <c r="D425" t="str">
        <f t="shared" si="7"/>
        <v>Opere_Difesa_SuoloODS_TOT_areetermometro</v>
      </c>
      <c r="E425">
        <v>1</v>
      </c>
    </row>
    <row r="426" spans="1:5" x14ac:dyDescent="0.3">
      <c r="A426" s="3" t="s">
        <v>592</v>
      </c>
      <c r="B426" t="s">
        <v>425</v>
      </c>
      <c r="C426" t="s">
        <v>424</v>
      </c>
      <c r="D426" t="str">
        <f t="shared" si="7"/>
        <v>Opere_Difesa_SuoloODS_TOT_areeindagine elettrica</v>
      </c>
      <c r="E426">
        <v>1</v>
      </c>
    </row>
    <row r="427" spans="1:5" x14ac:dyDescent="0.3">
      <c r="A427" s="3" t="s">
        <v>592</v>
      </c>
      <c r="B427" t="s">
        <v>443</v>
      </c>
      <c r="C427" t="s">
        <v>336</v>
      </c>
      <c r="D427" t="str">
        <f t="shared" si="7"/>
        <v>Opere_Difesa_SuoloODS_TOT_puntibriglia di trattenuta</v>
      </c>
      <c r="E427">
        <v>1790</v>
      </c>
    </row>
    <row r="428" spans="1:5" x14ac:dyDescent="0.3">
      <c r="A428" s="3" t="s">
        <v>592</v>
      </c>
      <c r="B428" t="s">
        <v>443</v>
      </c>
      <c r="C428" t="s">
        <v>366</v>
      </c>
      <c r="D428" t="str">
        <f t="shared" si="7"/>
        <v>Opere_Difesa_SuoloODS_TOT_puntidrenaggio superficiale</v>
      </c>
      <c r="E428">
        <v>334</v>
      </c>
    </row>
    <row r="429" spans="1:5" x14ac:dyDescent="0.3">
      <c r="A429" s="3" t="s">
        <v>592</v>
      </c>
      <c r="B429" t="s">
        <v>443</v>
      </c>
      <c r="C429" t="s">
        <v>343</v>
      </c>
      <c r="D429" t="str">
        <f t="shared" si="7"/>
        <v>Opere_Difesa_SuoloODS_TOT_puntiscogliera</v>
      </c>
      <c r="E429">
        <v>201</v>
      </c>
    </row>
    <row r="430" spans="1:5" x14ac:dyDescent="0.3">
      <c r="A430" s="3" t="s">
        <v>592</v>
      </c>
      <c r="B430" t="s">
        <v>443</v>
      </c>
      <c r="C430" t="s">
        <v>348</v>
      </c>
      <c r="D430" t="str">
        <f t="shared" si="7"/>
        <v>Opere_Difesa_SuoloODS_TOT_puntimuratura</v>
      </c>
      <c r="E430">
        <v>98</v>
      </c>
    </row>
    <row r="431" spans="1:5" x14ac:dyDescent="0.3">
      <c r="A431" s="3" t="s">
        <v>592</v>
      </c>
      <c r="B431" t="s">
        <v>443</v>
      </c>
      <c r="C431" t="s">
        <v>411</v>
      </c>
      <c r="D431" t="str">
        <f t="shared" si="7"/>
        <v>Opere_Difesa_SuoloODS_TOT_puntiiniezione/jet grouting</v>
      </c>
      <c r="E431">
        <v>12</v>
      </c>
    </row>
    <row r="432" spans="1:5" x14ac:dyDescent="0.3">
      <c r="A432" s="3" t="s">
        <v>592</v>
      </c>
      <c r="B432" t="s">
        <v>443</v>
      </c>
      <c r="C432" t="s">
        <v>346</v>
      </c>
      <c r="D432" t="str">
        <f t="shared" si="7"/>
        <v>Opere_Difesa_SuoloODS_TOT_puntitombotto</v>
      </c>
      <c r="E432">
        <v>533</v>
      </c>
    </row>
    <row r="433" spans="1:5" x14ac:dyDescent="0.3">
      <c r="A433" s="3" t="s">
        <v>592</v>
      </c>
      <c r="B433" t="s">
        <v>443</v>
      </c>
      <c r="C433" t="s">
        <v>345</v>
      </c>
      <c r="D433" t="str">
        <f t="shared" si="7"/>
        <v>Opere_Difesa_SuoloODS_TOT_puntivasca di espansione</v>
      </c>
      <c r="E433">
        <v>70</v>
      </c>
    </row>
    <row r="434" spans="1:5" x14ac:dyDescent="0.3">
      <c r="A434" s="3" t="s">
        <v>592</v>
      </c>
      <c r="B434" t="s">
        <v>443</v>
      </c>
      <c r="C434" t="s">
        <v>427</v>
      </c>
      <c r="D434" t="str">
        <f t="shared" si="7"/>
        <v>Opere_Difesa_SuoloODS_TOT_puntiidrometro</v>
      </c>
      <c r="E434">
        <v>10</v>
      </c>
    </row>
    <row r="435" spans="1:5" x14ac:dyDescent="0.3">
      <c r="A435" s="3" t="s">
        <v>592</v>
      </c>
      <c r="B435" t="s">
        <v>443</v>
      </c>
      <c r="C435" t="s">
        <v>419</v>
      </c>
      <c r="D435" t="str">
        <f t="shared" si="7"/>
        <v>Opere_Difesa_SuoloODS_TOT_puntipennello</v>
      </c>
      <c r="E435">
        <v>77</v>
      </c>
    </row>
    <row r="436" spans="1:5" x14ac:dyDescent="0.3">
      <c r="A436" s="3" t="s">
        <v>592</v>
      </c>
      <c r="B436" t="s">
        <v>443</v>
      </c>
      <c r="C436" t="s">
        <v>381</v>
      </c>
      <c r="D436" t="str">
        <f t="shared" si="7"/>
        <v>Opere_Difesa_SuoloODS_TOT_puntidemolizione</v>
      </c>
      <c r="E436">
        <v>125</v>
      </c>
    </row>
    <row r="437" spans="1:5" x14ac:dyDescent="0.3">
      <c r="A437" s="3" t="s">
        <v>592</v>
      </c>
      <c r="B437" t="s">
        <v>443</v>
      </c>
      <c r="C437" t="s">
        <v>363</v>
      </c>
      <c r="D437" t="str">
        <f t="shared" si="7"/>
        <v>Opere_Difesa_SuoloODS_TOT_puntisvaso</v>
      </c>
      <c r="E437">
        <v>56</v>
      </c>
    </row>
    <row r="438" spans="1:5" x14ac:dyDescent="0.3">
      <c r="A438" s="3" t="s">
        <v>592</v>
      </c>
      <c r="B438" t="s">
        <v>443</v>
      </c>
      <c r="C438" t="s">
        <v>340</v>
      </c>
      <c r="D438" t="str">
        <f t="shared" si="7"/>
        <v>Opere_Difesa_SuoloODS_TOT_puntiargine</v>
      </c>
      <c r="E438">
        <v>384</v>
      </c>
    </row>
    <row r="439" spans="1:5" x14ac:dyDescent="0.3">
      <c r="A439" s="3" t="s">
        <v>592</v>
      </c>
      <c r="B439" t="s">
        <v>443</v>
      </c>
      <c r="C439" t="s">
        <v>353</v>
      </c>
      <c r="D439" t="str">
        <f t="shared" si="7"/>
        <v>Opere_Difesa_SuoloODS_TOT_puntiancoraggio-tiranti</v>
      </c>
      <c r="E439">
        <v>64</v>
      </c>
    </row>
    <row r="440" spans="1:5" x14ac:dyDescent="0.3">
      <c r="A440" s="3" t="s">
        <v>592</v>
      </c>
      <c r="B440" t="s">
        <v>443</v>
      </c>
      <c r="C440" t="s">
        <v>428</v>
      </c>
      <c r="D440" t="str">
        <f t="shared" si="7"/>
        <v>Opere_Difesa_SuoloODS_TOT_puntigalleria drenante</v>
      </c>
      <c r="E440">
        <v>1</v>
      </c>
    </row>
    <row r="441" spans="1:5" x14ac:dyDescent="0.3">
      <c r="A441" s="3" t="s">
        <v>592</v>
      </c>
      <c r="B441" t="s">
        <v>443</v>
      </c>
      <c r="C441" t="s">
        <v>341</v>
      </c>
      <c r="D441" t="str">
        <f t="shared" si="7"/>
        <v>Opere_Difesa_SuoloODS_TOT_punticanale artificiale</v>
      </c>
      <c r="E441">
        <v>62</v>
      </c>
    </row>
    <row r="442" spans="1:5" x14ac:dyDescent="0.3">
      <c r="A442" s="3" t="s">
        <v>592</v>
      </c>
      <c r="B442" t="s">
        <v>443</v>
      </c>
      <c r="C442" t="s">
        <v>388</v>
      </c>
      <c r="D442" t="str">
        <f t="shared" si="7"/>
        <v>Opere_Difesa_SuoloODS_TOT_puntiponte</v>
      </c>
      <c r="E442">
        <v>227</v>
      </c>
    </row>
    <row r="443" spans="1:5" x14ac:dyDescent="0.3">
      <c r="A443" s="3" t="s">
        <v>592</v>
      </c>
      <c r="B443" t="s">
        <v>443</v>
      </c>
      <c r="C443" t="s">
        <v>350</v>
      </c>
      <c r="D443" t="str">
        <f t="shared" si="7"/>
        <v>Opere_Difesa_SuoloODS_TOT_puntirisagomatura alveo</v>
      </c>
      <c r="E443">
        <v>32</v>
      </c>
    </row>
    <row r="444" spans="1:5" x14ac:dyDescent="0.3">
      <c r="A444" s="3" t="s">
        <v>592</v>
      </c>
      <c r="B444" t="s">
        <v>443</v>
      </c>
      <c r="C444" t="s">
        <v>355</v>
      </c>
      <c r="D444" t="str">
        <f t="shared" si="7"/>
        <v>Opere_Difesa_SuoloODS_TOT_puntiimpermeabilizzazione</v>
      </c>
      <c r="E444">
        <v>4</v>
      </c>
    </row>
    <row r="445" spans="1:5" x14ac:dyDescent="0.3">
      <c r="A445" s="3" t="s">
        <v>592</v>
      </c>
      <c r="B445" t="s">
        <v>443</v>
      </c>
      <c r="C445" t="s">
        <v>415</v>
      </c>
      <c r="D445" t="str">
        <f t="shared" si="7"/>
        <v>Opere_Difesa_SuoloODS_TOT_puntiopera di presa/restituzione</v>
      </c>
      <c r="E445">
        <v>35</v>
      </c>
    </row>
    <row r="446" spans="1:5" x14ac:dyDescent="0.3">
      <c r="A446" s="3" t="s">
        <v>592</v>
      </c>
      <c r="B446" t="s">
        <v>443</v>
      </c>
      <c r="C446" t="s">
        <v>373</v>
      </c>
      <c r="D446" t="str">
        <f t="shared" si="7"/>
        <v>Opere_Difesa_SuoloODS_TOT_puntimuro</v>
      </c>
      <c r="E446">
        <v>499</v>
      </c>
    </row>
    <row r="447" spans="1:5" x14ac:dyDescent="0.3">
      <c r="A447" s="3" t="s">
        <v>592</v>
      </c>
      <c r="B447" t="s">
        <v>443</v>
      </c>
      <c r="C447" t="s">
        <v>349</v>
      </c>
      <c r="D447" t="str">
        <f t="shared" si="7"/>
        <v>Opere_Difesa_SuoloODS_TOT_puntimovimento terra</v>
      </c>
      <c r="E447">
        <v>83</v>
      </c>
    </row>
    <row r="448" spans="1:5" x14ac:dyDescent="0.3">
      <c r="A448" s="3" t="s">
        <v>592</v>
      </c>
      <c r="B448" t="s">
        <v>443</v>
      </c>
      <c r="C448" t="s">
        <v>344</v>
      </c>
      <c r="D448" t="str">
        <f t="shared" si="7"/>
        <v>Opere_Difesa_SuoloODS_TOT_puntisoglia</v>
      </c>
      <c r="E448">
        <v>1354</v>
      </c>
    </row>
    <row r="449" spans="1:5" x14ac:dyDescent="0.3">
      <c r="A449" s="3" t="s">
        <v>592</v>
      </c>
      <c r="B449" t="s">
        <v>443</v>
      </c>
      <c r="C449" t="s">
        <v>365</v>
      </c>
      <c r="D449" t="str">
        <f t="shared" si="7"/>
        <v>Opere_Difesa_SuoloODS_TOT_puntigrata viva</v>
      </c>
      <c r="E449">
        <v>8</v>
      </c>
    </row>
    <row r="450" spans="1:5" x14ac:dyDescent="0.3">
      <c r="A450" s="3" t="s">
        <v>592</v>
      </c>
      <c r="B450" t="s">
        <v>443</v>
      </c>
      <c r="C450" t="s">
        <v>335</v>
      </c>
      <c r="D450" t="str">
        <f t="shared" si="7"/>
        <v>Opere_Difesa_SuoloODS_TOT_puntipalificata viva</v>
      </c>
      <c r="E450">
        <v>85</v>
      </c>
    </row>
    <row r="451" spans="1:5" x14ac:dyDescent="0.3">
      <c r="A451" s="3" t="s">
        <v>592</v>
      </c>
      <c r="B451" t="s">
        <v>443</v>
      </c>
      <c r="C451" t="s">
        <v>371</v>
      </c>
      <c r="D451" t="str">
        <f t="shared" ref="D451:D514" si="8">_xlfn.CONCAT(A451,B451,C451)</f>
        <v>Opere_Difesa_SuoloODS_TOT_puntigabbionata</v>
      </c>
      <c r="E451">
        <v>390</v>
      </c>
    </row>
    <row r="452" spans="1:5" x14ac:dyDescent="0.3">
      <c r="A452" s="3" t="s">
        <v>592</v>
      </c>
      <c r="B452" t="s">
        <v>443</v>
      </c>
      <c r="C452" t="s">
        <v>342</v>
      </c>
      <c r="D452" t="str">
        <f t="shared" si="8"/>
        <v>Opere_Difesa_SuoloODS_TOT_puntibriglia filtrante</v>
      </c>
      <c r="E452">
        <v>115</v>
      </c>
    </row>
    <row r="453" spans="1:5" x14ac:dyDescent="0.3">
      <c r="A453" s="3" t="s">
        <v>592</v>
      </c>
      <c r="B453" t="s">
        <v>443</v>
      </c>
      <c r="C453" t="s">
        <v>429</v>
      </c>
      <c r="D453" t="str">
        <f t="shared" si="8"/>
        <v>Opere_Difesa_SuoloODS_TOT_puntipennello/repellente</v>
      </c>
      <c r="E453">
        <v>147</v>
      </c>
    </row>
    <row r="454" spans="1:5" x14ac:dyDescent="0.3">
      <c r="A454" s="3" t="s">
        <v>592</v>
      </c>
      <c r="B454" t="s">
        <v>443</v>
      </c>
      <c r="C454" t="s">
        <v>374</v>
      </c>
      <c r="D454" t="str">
        <f t="shared" si="8"/>
        <v>Opere_Difesa_SuoloODS_TOT_puntivasca di accumulo</v>
      </c>
      <c r="E454">
        <v>251</v>
      </c>
    </row>
    <row r="455" spans="1:5" x14ac:dyDescent="0.3">
      <c r="A455" s="3" t="s">
        <v>592</v>
      </c>
      <c r="B455" t="s">
        <v>443</v>
      </c>
      <c r="C455" t="s">
        <v>375</v>
      </c>
      <c r="D455" t="str">
        <f t="shared" si="8"/>
        <v>Opere_Difesa_SuoloODS_TOT_puntirete paramassi</v>
      </c>
      <c r="E455">
        <v>24</v>
      </c>
    </row>
    <row r="456" spans="1:5" x14ac:dyDescent="0.3">
      <c r="A456" s="3" t="s">
        <v>592</v>
      </c>
      <c r="B456" t="s">
        <v>443</v>
      </c>
      <c r="C456" t="s">
        <v>354</v>
      </c>
      <c r="D456" t="str">
        <f t="shared" si="8"/>
        <v>Opere_Difesa_SuoloODS_TOT_puntiimbracatura</v>
      </c>
      <c r="E456">
        <v>6</v>
      </c>
    </row>
    <row r="457" spans="1:5" x14ac:dyDescent="0.3">
      <c r="A457" s="3" t="s">
        <v>592</v>
      </c>
      <c r="B457" t="s">
        <v>443</v>
      </c>
      <c r="C457" t="s">
        <v>339</v>
      </c>
      <c r="D457" t="str">
        <f t="shared" si="8"/>
        <v>Opere_Difesa_SuoloODS_TOT_puntiselciatone</v>
      </c>
      <c r="E457">
        <v>817</v>
      </c>
    </row>
    <row r="458" spans="1:5" x14ac:dyDescent="0.3">
      <c r="A458" s="3" t="s">
        <v>592</v>
      </c>
      <c r="B458" t="s">
        <v>443</v>
      </c>
      <c r="C458" t="s">
        <v>383</v>
      </c>
      <c r="D458" t="str">
        <f t="shared" si="8"/>
        <v>Opere_Difesa_SuoloODS_TOT_punticassa/vasca d'espansione</v>
      </c>
      <c r="E458">
        <v>19</v>
      </c>
    </row>
    <row r="459" spans="1:5" x14ac:dyDescent="0.3">
      <c r="A459" s="3" t="s">
        <v>592</v>
      </c>
      <c r="B459" t="s">
        <v>443</v>
      </c>
      <c r="C459" t="s">
        <v>364</v>
      </c>
      <c r="D459" t="str">
        <f t="shared" si="8"/>
        <v>Opere_Difesa_SuoloODS_TOT_puntitombinatura</v>
      </c>
      <c r="E459">
        <v>306</v>
      </c>
    </row>
    <row r="460" spans="1:5" x14ac:dyDescent="0.3">
      <c r="A460" s="3" t="s">
        <v>592</v>
      </c>
      <c r="B460" t="s">
        <v>443</v>
      </c>
      <c r="C460" t="s">
        <v>378</v>
      </c>
      <c r="D460" t="str">
        <f t="shared" si="8"/>
        <v>Opere_Difesa_SuoloODS_TOT_punticanaletta</v>
      </c>
      <c r="E460">
        <v>801</v>
      </c>
    </row>
    <row r="461" spans="1:5" x14ac:dyDescent="0.3">
      <c r="A461" s="3" t="s">
        <v>592</v>
      </c>
      <c r="B461" t="s">
        <v>443</v>
      </c>
      <c r="C461" t="s">
        <v>382</v>
      </c>
      <c r="D461" t="str">
        <f t="shared" si="8"/>
        <v>Opere_Difesa_SuoloODS_TOT_puntisvaso/pulizia alveo</v>
      </c>
      <c r="E461">
        <v>28</v>
      </c>
    </row>
    <row r="462" spans="1:5" x14ac:dyDescent="0.3">
      <c r="A462" s="3" t="s">
        <v>592</v>
      </c>
      <c r="B462" t="s">
        <v>443</v>
      </c>
      <c r="C462" t="s">
        <v>385</v>
      </c>
      <c r="D462" t="str">
        <f t="shared" si="8"/>
        <v>Opere_Difesa_SuoloODS_TOT_puntigalleria</v>
      </c>
      <c r="E462">
        <v>1</v>
      </c>
    </row>
    <row r="463" spans="1:5" x14ac:dyDescent="0.3">
      <c r="A463" s="3" t="s">
        <v>592</v>
      </c>
      <c r="B463" t="s">
        <v>443</v>
      </c>
      <c r="C463" t="s">
        <v>367</v>
      </c>
      <c r="D463" t="str">
        <f t="shared" si="8"/>
        <v>Opere_Difesa_SuoloODS_TOT_punticunettone</v>
      </c>
      <c r="E463">
        <v>195</v>
      </c>
    </row>
    <row r="464" spans="1:5" x14ac:dyDescent="0.3">
      <c r="A464" s="3" t="s">
        <v>592</v>
      </c>
      <c r="B464" t="s">
        <v>443</v>
      </c>
      <c r="C464" t="s">
        <v>361</v>
      </c>
      <c r="D464" t="str">
        <f t="shared" si="8"/>
        <v>Opere_Difesa_SuoloODS_TOT_puntimira topografica</v>
      </c>
      <c r="E464">
        <v>114</v>
      </c>
    </row>
    <row r="465" spans="1:5" x14ac:dyDescent="0.3">
      <c r="A465" s="3" t="s">
        <v>592</v>
      </c>
      <c r="B465" t="s">
        <v>443</v>
      </c>
      <c r="C465" t="s">
        <v>368</v>
      </c>
      <c r="D465" t="str">
        <f t="shared" si="8"/>
        <v>Opere_Difesa_SuoloODS_TOT_puntifascinata viva</v>
      </c>
      <c r="E465">
        <v>24</v>
      </c>
    </row>
    <row r="466" spans="1:5" x14ac:dyDescent="0.3">
      <c r="A466" s="3" t="s">
        <v>592</v>
      </c>
      <c r="B466" t="s">
        <v>443</v>
      </c>
      <c r="C466" t="s">
        <v>401</v>
      </c>
      <c r="D466" t="str">
        <f t="shared" si="8"/>
        <v>Opere_Difesa_SuoloODS_TOT_puntipiezometro</v>
      </c>
      <c r="E466">
        <v>210</v>
      </c>
    </row>
    <row r="467" spans="1:5" x14ac:dyDescent="0.3">
      <c r="A467" s="3" t="s">
        <v>592</v>
      </c>
      <c r="B467" t="s">
        <v>443</v>
      </c>
      <c r="C467" t="s">
        <v>430</v>
      </c>
      <c r="D467" t="str">
        <f t="shared" si="8"/>
        <v>Opere_Difesa_SuoloODS_TOT_puntipluvionivometro</v>
      </c>
      <c r="E467">
        <v>10</v>
      </c>
    </row>
    <row r="468" spans="1:5" x14ac:dyDescent="0.3">
      <c r="A468" s="3" t="s">
        <v>592</v>
      </c>
      <c r="B468" t="s">
        <v>443</v>
      </c>
      <c r="C468" t="s">
        <v>423</v>
      </c>
      <c r="D468" t="str">
        <f t="shared" si="8"/>
        <v>Opere_Difesa_SuoloODS_TOT_puntitermometro</v>
      </c>
      <c r="E468">
        <v>20</v>
      </c>
    </row>
    <row r="469" spans="1:5" x14ac:dyDescent="0.3">
      <c r="A469" s="3" t="s">
        <v>592</v>
      </c>
      <c r="B469" t="s">
        <v>443</v>
      </c>
      <c r="C469" t="s">
        <v>431</v>
      </c>
      <c r="D469" t="str">
        <f t="shared" si="8"/>
        <v>Opere_Difesa_SuoloODS_TOT_puntipluviometro</v>
      </c>
      <c r="E469">
        <v>20</v>
      </c>
    </row>
    <row r="470" spans="1:5" x14ac:dyDescent="0.3">
      <c r="A470" s="3" t="s">
        <v>592</v>
      </c>
      <c r="B470" t="s">
        <v>443</v>
      </c>
      <c r="C470" t="s">
        <v>432</v>
      </c>
      <c r="D470" t="str">
        <f t="shared" si="8"/>
        <v>Opere_Difesa_SuoloODS_TOT_puntidistometro</v>
      </c>
      <c r="E470">
        <v>87</v>
      </c>
    </row>
    <row r="471" spans="1:5" x14ac:dyDescent="0.3">
      <c r="A471" s="3" t="s">
        <v>592</v>
      </c>
      <c r="B471" t="s">
        <v>443</v>
      </c>
      <c r="C471" t="s">
        <v>433</v>
      </c>
      <c r="D471" t="str">
        <f t="shared" si="8"/>
        <v>Opere_Difesa_SuoloODS_TOT_puntiestensimetro</v>
      </c>
      <c r="E471">
        <v>75</v>
      </c>
    </row>
    <row r="472" spans="1:5" x14ac:dyDescent="0.3">
      <c r="A472" s="3" t="s">
        <v>592</v>
      </c>
      <c r="B472" t="s">
        <v>443</v>
      </c>
      <c r="C472" t="s">
        <v>434</v>
      </c>
      <c r="D472" t="str">
        <f t="shared" si="8"/>
        <v>Opere_Difesa_SuoloODS_TOT_puntistazione GPS</v>
      </c>
      <c r="E472">
        <v>50</v>
      </c>
    </row>
    <row r="473" spans="1:5" x14ac:dyDescent="0.3">
      <c r="A473" s="3" t="s">
        <v>592</v>
      </c>
      <c r="B473" t="s">
        <v>443</v>
      </c>
      <c r="C473" t="s">
        <v>357</v>
      </c>
      <c r="D473" t="str">
        <f t="shared" si="8"/>
        <v>Opere_Difesa_SuoloODS_TOT_puntiterra armata/rinforzata</v>
      </c>
      <c r="E473">
        <v>15</v>
      </c>
    </row>
    <row r="474" spans="1:5" x14ac:dyDescent="0.3">
      <c r="A474" s="3" t="s">
        <v>592</v>
      </c>
      <c r="B474" t="s">
        <v>443</v>
      </c>
      <c r="C474" t="s">
        <v>337</v>
      </c>
      <c r="D474" t="str">
        <f t="shared" si="8"/>
        <v>Opere_Difesa_SuoloODS_TOT_puntiviminata e palizzata viva</v>
      </c>
      <c r="E474">
        <v>140</v>
      </c>
    </row>
    <row r="475" spans="1:5" x14ac:dyDescent="0.3">
      <c r="A475" s="3" t="s">
        <v>592</v>
      </c>
      <c r="B475" t="s">
        <v>443</v>
      </c>
      <c r="C475" t="s">
        <v>359</v>
      </c>
      <c r="D475" t="str">
        <f t="shared" si="8"/>
        <v>Opere_Difesa_SuoloODS_TOT_puntiponte da neve</v>
      </c>
      <c r="E475">
        <v>33</v>
      </c>
    </row>
    <row r="476" spans="1:5" x14ac:dyDescent="0.3">
      <c r="A476" s="3" t="s">
        <v>592</v>
      </c>
      <c r="B476" t="s">
        <v>443</v>
      </c>
      <c r="C476" t="s">
        <v>392</v>
      </c>
      <c r="D476" t="str">
        <f t="shared" si="8"/>
        <v>Opere_Difesa_SuoloODS_TOT_puntitrincea drenante</v>
      </c>
      <c r="E476">
        <v>45</v>
      </c>
    </row>
    <row r="477" spans="1:5" x14ac:dyDescent="0.3">
      <c r="A477" s="3" t="s">
        <v>592</v>
      </c>
      <c r="B477" t="s">
        <v>443</v>
      </c>
      <c r="C477" t="s">
        <v>376</v>
      </c>
      <c r="D477" t="str">
        <f t="shared" si="8"/>
        <v>Opere_Difesa_SuoloODS_TOT_puntirilevato/vallo paramassi</v>
      </c>
      <c r="E477">
        <v>1</v>
      </c>
    </row>
    <row r="478" spans="1:5" x14ac:dyDescent="0.3">
      <c r="A478" s="3" t="s">
        <v>592</v>
      </c>
      <c r="B478" t="s">
        <v>443</v>
      </c>
      <c r="C478" t="s">
        <v>418</v>
      </c>
      <c r="D478" t="str">
        <f t="shared" si="8"/>
        <v>Opere_Difesa_SuoloODS_TOT_puntipozzo drenante</v>
      </c>
      <c r="E478">
        <v>210</v>
      </c>
    </row>
    <row r="479" spans="1:5" x14ac:dyDescent="0.3">
      <c r="A479" s="3" t="s">
        <v>592</v>
      </c>
      <c r="B479" t="s">
        <v>443</v>
      </c>
      <c r="C479" t="s">
        <v>370</v>
      </c>
      <c r="D479" t="str">
        <f t="shared" si="8"/>
        <v>Opere_Difesa_SuoloODS_TOT_puntidrenaggio profondo</v>
      </c>
      <c r="E479">
        <v>44</v>
      </c>
    </row>
    <row r="480" spans="1:5" x14ac:dyDescent="0.3">
      <c r="A480" s="3" t="s">
        <v>592</v>
      </c>
      <c r="B480" t="s">
        <v>443</v>
      </c>
      <c r="C480" t="s">
        <v>379</v>
      </c>
      <c r="D480" t="str">
        <f t="shared" si="8"/>
        <v>Opere_Difesa_SuoloODS_TOT_puntirivestimento antierosivo biodegradabile</v>
      </c>
      <c r="E480">
        <v>8</v>
      </c>
    </row>
    <row r="481" spans="1:5" x14ac:dyDescent="0.3">
      <c r="A481" s="3" t="s">
        <v>592</v>
      </c>
      <c r="B481" t="s">
        <v>443</v>
      </c>
      <c r="C481" t="s">
        <v>377</v>
      </c>
      <c r="D481" t="str">
        <f t="shared" si="8"/>
        <v>Opere_Difesa_SuoloODS_TOT_puntipiantumazione</v>
      </c>
      <c r="E481">
        <v>8</v>
      </c>
    </row>
    <row r="482" spans="1:5" x14ac:dyDescent="0.3">
      <c r="A482" s="3" t="s">
        <v>592</v>
      </c>
      <c r="B482" t="s">
        <v>443</v>
      </c>
      <c r="C482" t="s">
        <v>435</v>
      </c>
      <c r="D482" t="str">
        <f t="shared" si="8"/>
        <v>Opere_Difesa_SuoloODS_TOT_puntibarriera rigida</v>
      </c>
      <c r="E482">
        <v>13</v>
      </c>
    </row>
    <row r="483" spans="1:5" x14ac:dyDescent="0.3">
      <c r="A483" s="3" t="s">
        <v>592</v>
      </c>
      <c r="B483" t="s">
        <v>443</v>
      </c>
      <c r="C483" t="s">
        <v>360</v>
      </c>
      <c r="D483" t="str">
        <f t="shared" si="8"/>
        <v>Opere_Difesa_SuoloODS_TOT_puntidisgaggio</v>
      </c>
      <c r="E483">
        <v>105</v>
      </c>
    </row>
    <row r="484" spans="1:5" x14ac:dyDescent="0.3">
      <c r="A484" s="3" t="s">
        <v>592</v>
      </c>
      <c r="B484" t="s">
        <v>443</v>
      </c>
      <c r="C484" t="s">
        <v>380</v>
      </c>
      <c r="D484" t="str">
        <f t="shared" si="8"/>
        <v>Opere_Difesa_SuoloODS_TOT_puntirimboschimento</v>
      </c>
      <c r="E484">
        <v>3</v>
      </c>
    </row>
    <row r="485" spans="1:5" x14ac:dyDescent="0.3">
      <c r="A485" s="3" t="s">
        <v>592</v>
      </c>
      <c r="B485" t="s">
        <v>443</v>
      </c>
      <c r="C485" t="s">
        <v>362</v>
      </c>
      <c r="D485" t="str">
        <f t="shared" si="8"/>
        <v>Opere_Difesa_SuoloODS_TOT_puntiinerbimento</v>
      </c>
      <c r="E485">
        <v>49</v>
      </c>
    </row>
    <row r="486" spans="1:5" x14ac:dyDescent="0.3">
      <c r="A486" s="3" t="s">
        <v>592</v>
      </c>
      <c r="B486" t="s">
        <v>443</v>
      </c>
      <c r="C486" t="s">
        <v>405</v>
      </c>
      <c r="D486" t="str">
        <f t="shared" si="8"/>
        <v>Opere_Difesa_SuoloODS_TOT_puntisondaggio geognostico</v>
      </c>
      <c r="E486">
        <v>528</v>
      </c>
    </row>
    <row r="487" spans="1:5" x14ac:dyDescent="0.3">
      <c r="A487" s="3" t="s">
        <v>592</v>
      </c>
      <c r="B487" t="s">
        <v>443</v>
      </c>
      <c r="C487" t="s">
        <v>436</v>
      </c>
      <c r="D487" t="str">
        <f t="shared" si="8"/>
        <v>Opere_Difesa_SuoloODS_TOT_puntibarriera elastoplastica</v>
      </c>
      <c r="E487">
        <v>9</v>
      </c>
    </row>
    <row r="488" spans="1:5" x14ac:dyDescent="0.3">
      <c r="A488" s="3" t="s">
        <v>592</v>
      </c>
      <c r="B488" t="s">
        <v>443</v>
      </c>
      <c r="C488" t="s">
        <v>384</v>
      </c>
      <c r="D488" t="str">
        <f t="shared" si="8"/>
        <v>Opere_Difesa_SuoloODS_TOT_puntidreni sub-orizzontali</v>
      </c>
      <c r="E488">
        <v>12</v>
      </c>
    </row>
    <row r="489" spans="1:5" x14ac:dyDescent="0.3">
      <c r="A489" s="3" t="s">
        <v>592</v>
      </c>
      <c r="B489" t="s">
        <v>443</v>
      </c>
      <c r="C489" t="s">
        <v>437</v>
      </c>
      <c r="D489" t="str">
        <f t="shared" si="8"/>
        <v>Opere_Difesa_SuoloODS_TOT_puntiinclinometro</v>
      </c>
      <c r="E489">
        <v>158</v>
      </c>
    </row>
    <row r="490" spans="1:5" x14ac:dyDescent="0.3">
      <c r="A490" s="3" t="s">
        <v>592</v>
      </c>
      <c r="B490" t="s">
        <v>443</v>
      </c>
      <c r="C490" t="s">
        <v>389</v>
      </c>
      <c r="D490" t="str">
        <f t="shared" si="8"/>
        <v>Opere_Difesa_SuoloODS_TOT_puntiancoraggio/tiranti</v>
      </c>
      <c r="E490">
        <v>9</v>
      </c>
    </row>
    <row r="491" spans="1:5" x14ac:dyDescent="0.3">
      <c r="A491" s="3" t="s">
        <v>592</v>
      </c>
      <c r="B491" t="s">
        <v>443</v>
      </c>
      <c r="C491" t="s">
        <v>338</v>
      </c>
      <c r="D491" t="str">
        <f t="shared" si="8"/>
        <v>Opere_Difesa_SuoloODS_TOT_puntiterrazzamento/gradonatura</v>
      </c>
      <c r="E491">
        <v>1</v>
      </c>
    </row>
    <row r="492" spans="1:5" x14ac:dyDescent="0.3">
      <c r="A492" s="3" t="s">
        <v>592</v>
      </c>
      <c r="B492" t="s">
        <v>443</v>
      </c>
      <c r="C492" t="s">
        <v>372</v>
      </c>
      <c r="D492" t="str">
        <f t="shared" si="8"/>
        <v>Opere_Difesa_SuoloODS_TOT_puntirivestimento antierosivo sintetico</v>
      </c>
      <c r="E492">
        <v>12</v>
      </c>
    </row>
    <row r="493" spans="1:5" x14ac:dyDescent="0.3">
      <c r="A493" s="3" t="s">
        <v>592</v>
      </c>
      <c r="B493" t="s">
        <v>443</v>
      </c>
      <c r="C493" t="s">
        <v>416</v>
      </c>
      <c r="D493" t="str">
        <f t="shared" si="8"/>
        <v>Opere_Difesa_SuoloODS_TOT_puntispritz beton</v>
      </c>
      <c r="E493">
        <v>6</v>
      </c>
    </row>
    <row r="494" spans="1:5" x14ac:dyDescent="0.3">
      <c r="A494" s="3" t="s">
        <v>592</v>
      </c>
      <c r="B494" t="s">
        <v>443</v>
      </c>
      <c r="C494" t="s">
        <v>387</v>
      </c>
      <c r="D494" t="str">
        <f t="shared" si="8"/>
        <v>Opere_Difesa_SuoloODS_TOT_puntifrangivento</v>
      </c>
      <c r="E494">
        <v>3</v>
      </c>
    </row>
    <row r="495" spans="1:5" x14ac:dyDescent="0.3">
      <c r="A495" s="3" t="s">
        <v>592</v>
      </c>
      <c r="B495" t="s">
        <v>443</v>
      </c>
      <c r="C495" t="s">
        <v>438</v>
      </c>
      <c r="D495" t="str">
        <f t="shared" si="8"/>
        <v>Opere_Difesa_SuoloODS_TOT_punticumuli di terra</v>
      </c>
      <c r="E495">
        <v>19</v>
      </c>
    </row>
    <row r="496" spans="1:5" x14ac:dyDescent="0.3">
      <c r="A496" s="3" t="s">
        <v>592</v>
      </c>
      <c r="B496" t="s">
        <v>443</v>
      </c>
      <c r="C496" t="s">
        <v>407</v>
      </c>
      <c r="D496" t="str">
        <f t="shared" si="8"/>
        <v>Opere_Difesa_SuoloODS_TOT_puntigalleria paramassi</v>
      </c>
      <c r="E496">
        <v>1</v>
      </c>
    </row>
    <row r="497" spans="1:5" x14ac:dyDescent="0.3">
      <c r="A497" s="3" t="s">
        <v>592</v>
      </c>
      <c r="B497" t="s">
        <v>443</v>
      </c>
      <c r="C497" t="s">
        <v>400</v>
      </c>
      <c r="D497" t="str">
        <f t="shared" si="8"/>
        <v>Opere_Difesa_SuoloODS_TOT_puntireticolo micropali</v>
      </c>
      <c r="E497">
        <v>9</v>
      </c>
    </row>
    <row r="498" spans="1:5" x14ac:dyDescent="0.3">
      <c r="A498" s="3" t="s">
        <v>592</v>
      </c>
      <c r="B498" t="s">
        <v>443</v>
      </c>
      <c r="C498" t="s">
        <v>406</v>
      </c>
      <c r="D498" t="str">
        <f t="shared" si="8"/>
        <v>Opere_Difesa_SuoloODS_TOT_puntirastrelliera</v>
      </c>
      <c r="E498">
        <v>1</v>
      </c>
    </row>
    <row r="499" spans="1:5" x14ac:dyDescent="0.3">
      <c r="A499" s="3" t="s">
        <v>592</v>
      </c>
      <c r="B499" t="s">
        <v>443</v>
      </c>
      <c r="C499" t="s">
        <v>421</v>
      </c>
      <c r="D499" t="str">
        <f t="shared" si="8"/>
        <v>Opere_Difesa_SuoloODS_TOT_puntimuro a secco</v>
      </c>
      <c r="E499">
        <v>35</v>
      </c>
    </row>
    <row r="500" spans="1:5" x14ac:dyDescent="0.3">
      <c r="A500" s="3" t="s">
        <v>592</v>
      </c>
      <c r="B500" t="s">
        <v>443</v>
      </c>
      <c r="C500" t="s">
        <v>404</v>
      </c>
      <c r="D500" t="str">
        <f t="shared" si="8"/>
        <v>Opere_Difesa_SuoloODS_TOT_punticassa d'espansione</v>
      </c>
      <c r="E500">
        <v>4</v>
      </c>
    </row>
    <row r="501" spans="1:5" x14ac:dyDescent="0.3">
      <c r="A501" s="3" t="s">
        <v>592</v>
      </c>
      <c r="B501" t="s">
        <v>443</v>
      </c>
      <c r="C501" t="s">
        <v>397</v>
      </c>
      <c r="D501" t="str">
        <f t="shared" si="8"/>
        <v>Opere_Difesa_SuoloODS_TOT_punticuneo filtrante</v>
      </c>
      <c r="E501">
        <v>5</v>
      </c>
    </row>
    <row r="502" spans="1:5" x14ac:dyDescent="0.3">
      <c r="A502" s="3" t="s">
        <v>592</v>
      </c>
      <c r="B502" t="s">
        <v>443</v>
      </c>
      <c r="C502" t="s">
        <v>409</v>
      </c>
      <c r="D502" t="str">
        <f t="shared" si="8"/>
        <v>Opere_Difesa_SuoloODS_TOT_puntidrenaggio</v>
      </c>
      <c r="E502">
        <v>50</v>
      </c>
    </row>
    <row r="503" spans="1:5" x14ac:dyDescent="0.3">
      <c r="A503" s="3" t="s">
        <v>592</v>
      </c>
      <c r="B503" t="s">
        <v>443</v>
      </c>
      <c r="C503" t="s">
        <v>394</v>
      </c>
      <c r="D503" t="str">
        <f t="shared" si="8"/>
        <v>Opere_Difesa_SuoloODS_TOT_puntibriglia</v>
      </c>
      <c r="E503">
        <v>845</v>
      </c>
    </row>
    <row r="504" spans="1:5" x14ac:dyDescent="0.3">
      <c r="A504" s="3" t="s">
        <v>592</v>
      </c>
      <c r="B504" t="s">
        <v>443</v>
      </c>
      <c r="C504" t="s">
        <v>352</v>
      </c>
      <c r="D504" t="str">
        <f t="shared" si="8"/>
        <v>Opere_Difesa_SuoloODS_TOT_puntirete</v>
      </c>
      <c r="E504">
        <v>93</v>
      </c>
    </row>
    <row r="505" spans="1:5" x14ac:dyDescent="0.3">
      <c r="A505" s="3" t="s">
        <v>592</v>
      </c>
      <c r="B505" t="s">
        <v>443</v>
      </c>
      <c r="C505" t="s">
        <v>390</v>
      </c>
      <c r="D505" t="str">
        <f t="shared" si="8"/>
        <v>Opere_Difesa_SuoloODS_TOT_puntibarriera a funi parallele</v>
      </c>
      <c r="E505">
        <v>1</v>
      </c>
    </row>
    <row r="506" spans="1:5" x14ac:dyDescent="0.3">
      <c r="A506" s="3" t="s">
        <v>592</v>
      </c>
      <c r="B506" t="s">
        <v>443</v>
      </c>
      <c r="C506" t="s">
        <v>396</v>
      </c>
      <c r="D506" t="str">
        <f t="shared" si="8"/>
        <v>Opere_Difesa_SuoloODS_TOT_puntipali</v>
      </c>
      <c r="E506">
        <v>23</v>
      </c>
    </row>
    <row r="507" spans="1:5" x14ac:dyDescent="0.3">
      <c r="A507" s="3" t="s">
        <v>592</v>
      </c>
      <c r="B507" t="s">
        <v>443</v>
      </c>
      <c r="C507" t="s">
        <v>393</v>
      </c>
      <c r="D507" t="str">
        <f t="shared" si="8"/>
        <v>Opere_Difesa_SuoloODS_TOT_puntidisboscamento</v>
      </c>
      <c r="E507">
        <v>25</v>
      </c>
    </row>
    <row r="508" spans="1:5" x14ac:dyDescent="0.3">
      <c r="A508" s="3" t="s">
        <v>592</v>
      </c>
      <c r="B508" t="s">
        <v>443</v>
      </c>
      <c r="C508" t="s">
        <v>408</v>
      </c>
      <c r="D508" t="str">
        <f t="shared" si="8"/>
        <v>Opere_Difesa_SuoloODS_TOT_puntisottomurazione</v>
      </c>
      <c r="E508">
        <v>63</v>
      </c>
    </row>
    <row r="509" spans="1:5" x14ac:dyDescent="0.3">
      <c r="A509" s="3" t="s">
        <v>592</v>
      </c>
      <c r="B509" t="s">
        <v>443</v>
      </c>
      <c r="C509" t="s">
        <v>334</v>
      </c>
      <c r="D509" t="str">
        <f t="shared" si="8"/>
        <v>Opere_Difesa_SuoloODS_TOT_puntigradonata viva</v>
      </c>
      <c r="E509">
        <v>4</v>
      </c>
    </row>
    <row r="510" spans="1:5" x14ac:dyDescent="0.3">
      <c r="A510" s="3" t="s">
        <v>592</v>
      </c>
      <c r="B510" t="s">
        <v>443</v>
      </c>
      <c r="C510" t="s">
        <v>413</v>
      </c>
      <c r="D510" t="str">
        <f t="shared" si="8"/>
        <v>Opere_Difesa_SuoloODS_TOT_puntimuro in cemento armato</v>
      </c>
      <c r="E510">
        <v>42</v>
      </c>
    </row>
    <row r="511" spans="1:5" x14ac:dyDescent="0.3">
      <c r="A511" s="3" t="s">
        <v>592</v>
      </c>
      <c r="B511" t="s">
        <v>443</v>
      </c>
      <c r="C511" t="s">
        <v>395</v>
      </c>
      <c r="D511" t="str">
        <f t="shared" si="8"/>
        <v>Opere_Difesa_SuoloODS_TOT_puntibarriera</v>
      </c>
      <c r="E511">
        <v>16</v>
      </c>
    </row>
    <row r="512" spans="1:5" x14ac:dyDescent="0.3">
      <c r="A512" s="3" t="s">
        <v>592</v>
      </c>
      <c r="B512" t="s">
        <v>443</v>
      </c>
      <c r="C512" t="s">
        <v>391</v>
      </c>
      <c r="D512" t="str">
        <f t="shared" si="8"/>
        <v>Opere_Difesa_SuoloODS_TOT_puntiscoronamento</v>
      </c>
      <c r="E512">
        <v>15</v>
      </c>
    </row>
    <row r="513" spans="1:5" x14ac:dyDescent="0.3">
      <c r="A513" s="3" t="s">
        <v>592</v>
      </c>
      <c r="B513" t="s">
        <v>443</v>
      </c>
      <c r="C513" t="s">
        <v>402</v>
      </c>
      <c r="D513" t="str">
        <f t="shared" si="8"/>
        <v>Opere_Difesa_SuoloODS_TOT_puntidrenaggio sub-orizzontale</v>
      </c>
      <c r="E513">
        <v>46</v>
      </c>
    </row>
    <row r="514" spans="1:5" x14ac:dyDescent="0.3">
      <c r="A514" s="3" t="s">
        <v>592</v>
      </c>
      <c r="B514" t="s">
        <v>443</v>
      </c>
      <c r="C514" t="s">
        <v>439</v>
      </c>
      <c r="D514" t="str">
        <f t="shared" si="8"/>
        <v>Opere_Difesa_SuoloODS_TOT_puntiparatia</v>
      </c>
      <c r="E514">
        <v>2</v>
      </c>
    </row>
    <row r="515" spans="1:5" x14ac:dyDescent="0.3">
      <c r="A515" s="3" t="s">
        <v>592</v>
      </c>
      <c r="B515" t="s">
        <v>443</v>
      </c>
      <c r="C515" t="s">
        <v>358</v>
      </c>
      <c r="D515" t="str">
        <f t="shared" ref="D515:D578" si="9">_xlfn.CONCAT(A515,B515,C515)</f>
        <v>Opere_Difesa_SuoloODS_TOT_puntidiga</v>
      </c>
      <c r="E515">
        <v>2</v>
      </c>
    </row>
    <row r="516" spans="1:5" x14ac:dyDescent="0.3">
      <c r="A516" s="3" t="s">
        <v>592</v>
      </c>
      <c r="B516" t="s">
        <v>443</v>
      </c>
      <c r="C516" t="s">
        <v>440</v>
      </c>
      <c r="D516" t="str">
        <f t="shared" si="9"/>
        <v>Opere_Difesa_SuoloODS_TOT_puntirepellente</v>
      </c>
      <c r="E516">
        <v>16</v>
      </c>
    </row>
    <row r="517" spans="1:5" x14ac:dyDescent="0.3">
      <c r="A517" s="3" t="s">
        <v>592</v>
      </c>
      <c r="B517" t="s">
        <v>443</v>
      </c>
      <c r="C517" t="s">
        <v>398</v>
      </c>
      <c r="D517" t="str">
        <f t="shared" si="9"/>
        <v>Opere_Difesa_SuoloODS_TOT_punticordonata</v>
      </c>
      <c r="E517">
        <v>6</v>
      </c>
    </row>
    <row r="518" spans="1:5" x14ac:dyDescent="0.3">
      <c r="A518" s="3" t="s">
        <v>592</v>
      </c>
      <c r="B518" t="s">
        <v>443</v>
      </c>
      <c r="C518" t="s">
        <v>424</v>
      </c>
      <c r="D518" t="str">
        <f t="shared" si="9"/>
        <v>Opere_Difesa_SuoloODS_TOT_puntiindagine elettrica</v>
      </c>
      <c r="E518">
        <v>19</v>
      </c>
    </row>
    <row r="519" spans="1:5" x14ac:dyDescent="0.3">
      <c r="A519" s="3" t="s">
        <v>592</v>
      </c>
      <c r="B519" t="s">
        <v>443</v>
      </c>
      <c r="C519" t="s">
        <v>351</v>
      </c>
      <c r="D519" t="str">
        <f t="shared" si="9"/>
        <v>Opere_Difesa_SuoloODS_TOT_puntirilevato paramassi</v>
      </c>
      <c r="E519">
        <v>2</v>
      </c>
    </row>
    <row r="520" spans="1:5" x14ac:dyDescent="0.3">
      <c r="A520" s="3" t="s">
        <v>592</v>
      </c>
      <c r="B520" t="s">
        <v>443</v>
      </c>
      <c r="C520" t="s">
        <v>422</v>
      </c>
      <c r="D520" t="str">
        <f t="shared" si="9"/>
        <v>Opere_Difesa_SuoloODS_TOT_puntirete elastoplastica</v>
      </c>
      <c r="E520">
        <v>3</v>
      </c>
    </row>
    <row r="521" spans="1:5" x14ac:dyDescent="0.3">
      <c r="A521" s="3" t="s">
        <v>592</v>
      </c>
      <c r="B521" t="s">
        <v>443</v>
      </c>
      <c r="C521" t="s">
        <v>414</v>
      </c>
      <c r="D521" t="str">
        <f t="shared" si="9"/>
        <v>Opere_Difesa_SuoloODS_TOT_puntimuro cellulare</v>
      </c>
      <c r="E521">
        <v>3</v>
      </c>
    </row>
    <row r="522" spans="1:5" x14ac:dyDescent="0.3">
      <c r="A522" s="3" t="s">
        <v>592</v>
      </c>
      <c r="B522" t="s">
        <v>443</v>
      </c>
      <c r="C522" t="s">
        <v>441</v>
      </c>
      <c r="D522" t="str">
        <f t="shared" si="9"/>
        <v>Opere_Difesa_SuoloODS_TOT_puntiindagine sismica</v>
      </c>
      <c r="E522">
        <v>5</v>
      </c>
    </row>
    <row r="523" spans="1:5" x14ac:dyDescent="0.3">
      <c r="A523" s="3" t="s">
        <v>592</v>
      </c>
      <c r="B523" t="s">
        <v>443</v>
      </c>
      <c r="C523" t="s">
        <v>412</v>
      </c>
      <c r="D523" t="str">
        <f t="shared" si="9"/>
        <v>Opere_Difesa_SuoloODS_TOT_puntivallo/rilevato caduta massi</v>
      </c>
      <c r="E523">
        <v>3</v>
      </c>
    </row>
    <row r="524" spans="1:5" x14ac:dyDescent="0.3">
      <c r="A524" s="3" t="s">
        <v>592</v>
      </c>
      <c r="B524" t="s">
        <v>443</v>
      </c>
      <c r="C524" t="s">
        <v>442</v>
      </c>
      <c r="D524" t="str">
        <f t="shared" si="9"/>
        <v>Opere_Difesa_SuoloODS_TOT_puntiparatia di sostegno</v>
      </c>
      <c r="E524">
        <v>11</v>
      </c>
    </row>
    <row r="525" spans="1:5" x14ac:dyDescent="0.3">
      <c r="A525" s="3" t="s">
        <v>592</v>
      </c>
      <c r="B525" t="s">
        <v>444</v>
      </c>
      <c r="C525" t="s">
        <v>345</v>
      </c>
      <c r="D525" t="str">
        <f t="shared" si="9"/>
        <v>Opere_Difesa_SuoloOPERE_FIUMI_PGvasca di espansione</v>
      </c>
      <c r="E525">
        <v>7</v>
      </c>
    </row>
    <row r="526" spans="1:5" x14ac:dyDescent="0.3">
      <c r="A526" s="3" t="s">
        <v>592</v>
      </c>
      <c r="B526" t="s">
        <v>446</v>
      </c>
      <c r="C526" t="s">
        <v>340</v>
      </c>
      <c r="D526" t="str">
        <f t="shared" si="9"/>
        <v>Opere_Difesa_SuoloOPERE_FIUMI_PLargine</v>
      </c>
      <c r="E526">
        <v>653</v>
      </c>
    </row>
    <row r="527" spans="1:5" x14ac:dyDescent="0.3">
      <c r="A527" s="3" t="s">
        <v>592</v>
      </c>
      <c r="B527" t="s">
        <v>446</v>
      </c>
      <c r="C527" t="s">
        <v>364</v>
      </c>
      <c r="D527" t="str">
        <f t="shared" si="9"/>
        <v>Opere_Difesa_SuoloOPERE_FIUMI_PLtombinatura</v>
      </c>
      <c r="E527">
        <v>92</v>
      </c>
    </row>
    <row r="528" spans="1:5" x14ac:dyDescent="0.3">
      <c r="A528" s="3" t="s">
        <v>592</v>
      </c>
      <c r="B528" t="s">
        <v>446</v>
      </c>
      <c r="C528" t="s">
        <v>348</v>
      </c>
      <c r="D528" t="str">
        <f t="shared" si="9"/>
        <v>Opere_Difesa_SuoloOPERE_FIUMI_PLmuratura</v>
      </c>
      <c r="E528">
        <v>99</v>
      </c>
    </row>
    <row r="529" spans="1:5" x14ac:dyDescent="0.3">
      <c r="A529" s="3" t="s">
        <v>592</v>
      </c>
      <c r="B529" t="s">
        <v>446</v>
      </c>
      <c r="C529" t="s">
        <v>341</v>
      </c>
      <c r="D529" t="str">
        <f t="shared" si="9"/>
        <v>Opere_Difesa_SuoloOPERE_FIUMI_PLcanale artificiale</v>
      </c>
      <c r="E529">
        <v>12</v>
      </c>
    </row>
    <row r="530" spans="1:5" x14ac:dyDescent="0.3">
      <c r="A530" s="3" t="s">
        <v>592</v>
      </c>
      <c r="B530" t="s">
        <v>446</v>
      </c>
      <c r="C530" t="s">
        <v>344</v>
      </c>
      <c r="D530" t="str">
        <f t="shared" si="9"/>
        <v>Opere_Difesa_SuoloOPERE_FIUMI_PLsoglia</v>
      </c>
      <c r="E530">
        <v>180</v>
      </c>
    </row>
    <row r="531" spans="1:5" x14ac:dyDescent="0.3">
      <c r="A531" s="3" t="s">
        <v>592</v>
      </c>
      <c r="B531" t="s">
        <v>446</v>
      </c>
      <c r="C531" t="s">
        <v>371</v>
      </c>
      <c r="D531" t="str">
        <f t="shared" si="9"/>
        <v>Opere_Difesa_SuoloOPERE_FIUMI_PLgabbionata</v>
      </c>
      <c r="E531">
        <v>9</v>
      </c>
    </row>
    <row r="532" spans="1:5" x14ac:dyDescent="0.3">
      <c r="A532" s="3" t="s">
        <v>592</v>
      </c>
      <c r="B532" t="s">
        <v>446</v>
      </c>
      <c r="C532" t="s">
        <v>394</v>
      </c>
      <c r="D532" t="str">
        <f t="shared" si="9"/>
        <v>Opere_Difesa_SuoloOPERE_FIUMI_PLbriglia</v>
      </c>
      <c r="E532">
        <v>6</v>
      </c>
    </row>
    <row r="533" spans="1:5" x14ac:dyDescent="0.3">
      <c r="A533" s="3" t="s">
        <v>592</v>
      </c>
      <c r="B533" t="s">
        <v>446</v>
      </c>
      <c r="C533" t="s">
        <v>343</v>
      </c>
      <c r="D533" t="str">
        <f t="shared" si="9"/>
        <v>Opere_Difesa_SuoloOPERE_FIUMI_PLscogliera</v>
      </c>
      <c r="E533">
        <v>312</v>
      </c>
    </row>
    <row r="534" spans="1:5" x14ac:dyDescent="0.3">
      <c r="A534" s="3" t="s">
        <v>592</v>
      </c>
      <c r="B534" t="s">
        <v>446</v>
      </c>
      <c r="C534" t="s">
        <v>445</v>
      </c>
      <c r="D534" t="str">
        <f t="shared" si="9"/>
        <v>Opere_Difesa_SuoloOPERE_FIUMI_PLtraversa</v>
      </c>
      <c r="E534">
        <v>52</v>
      </c>
    </row>
    <row r="535" spans="1:5" x14ac:dyDescent="0.3">
      <c r="A535" s="3" t="s">
        <v>592</v>
      </c>
      <c r="B535" t="s">
        <v>446</v>
      </c>
      <c r="C535" t="s">
        <v>346</v>
      </c>
      <c r="D535" t="str">
        <f t="shared" si="9"/>
        <v>Opere_Difesa_SuoloOPERE_FIUMI_PLtombotto</v>
      </c>
      <c r="E535">
        <v>9</v>
      </c>
    </row>
    <row r="536" spans="1:5" x14ac:dyDescent="0.3">
      <c r="A536" s="3" t="s">
        <v>592</v>
      </c>
      <c r="B536" t="s">
        <v>446</v>
      </c>
      <c r="C536" t="s">
        <v>413</v>
      </c>
      <c r="D536" t="str">
        <f t="shared" si="9"/>
        <v>Opere_Difesa_SuoloOPERE_FIUMI_PLmuro in cemento armato</v>
      </c>
      <c r="E536">
        <v>4</v>
      </c>
    </row>
    <row r="537" spans="1:5" x14ac:dyDescent="0.3">
      <c r="A537" s="3" t="s">
        <v>592</v>
      </c>
      <c r="B537" t="s">
        <v>446</v>
      </c>
      <c r="C537" t="s">
        <v>408</v>
      </c>
      <c r="D537" t="str">
        <f t="shared" si="9"/>
        <v>Opere_Difesa_SuoloOPERE_FIUMI_PLsottomurazione</v>
      </c>
      <c r="E537">
        <v>3</v>
      </c>
    </row>
    <row r="538" spans="1:5" x14ac:dyDescent="0.3">
      <c r="A538" s="3" t="s">
        <v>592</v>
      </c>
      <c r="B538" t="s">
        <v>446</v>
      </c>
      <c r="C538" t="s">
        <v>388</v>
      </c>
      <c r="D538" t="str">
        <f t="shared" si="9"/>
        <v>Opere_Difesa_SuoloOPERE_FIUMI_PLponte</v>
      </c>
      <c r="E538">
        <v>2</v>
      </c>
    </row>
    <row r="539" spans="1:5" x14ac:dyDescent="0.3">
      <c r="A539" s="3" t="s">
        <v>592</v>
      </c>
      <c r="B539" t="s">
        <v>446</v>
      </c>
      <c r="C539" t="s">
        <v>350</v>
      </c>
      <c r="D539" t="str">
        <f t="shared" si="9"/>
        <v>Opere_Difesa_SuoloOPERE_FIUMI_PLrisagomatura alveo</v>
      </c>
      <c r="E539">
        <v>3</v>
      </c>
    </row>
    <row r="540" spans="1:5" x14ac:dyDescent="0.3">
      <c r="A540" s="3" t="s">
        <v>592</v>
      </c>
      <c r="B540" t="s">
        <v>446</v>
      </c>
      <c r="C540" t="s">
        <v>372</v>
      </c>
      <c r="D540" t="str">
        <f t="shared" si="9"/>
        <v>Opere_Difesa_SuoloOPERE_FIUMI_PLrivestimento antierosivo sintetico</v>
      </c>
      <c r="E540">
        <v>4</v>
      </c>
    </row>
    <row r="541" spans="1:5" x14ac:dyDescent="0.3">
      <c r="A541" s="3" t="s">
        <v>592</v>
      </c>
      <c r="B541" t="s">
        <v>446</v>
      </c>
      <c r="C541" t="s">
        <v>439</v>
      </c>
      <c r="D541" t="str">
        <f t="shared" si="9"/>
        <v>Opere_Difesa_SuoloOPERE_FIUMI_PLparatia</v>
      </c>
      <c r="E541">
        <v>3</v>
      </c>
    </row>
    <row r="542" spans="1:5" x14ac:dyDescent="0.3">
      <c r="A542" s="3" t="s">
        <v>592</v>
      </c>
      <c r="B542" t="s">
        <v>446</v>
      </c>
      <c r="C542" t="s">
        <v>419</v>
      </c>
      <c r="D542" t="str">
        <f t="shared" si="9"/>
        <v>Opere_Difesa_SuoloOPERE_FIUMI_PLpennello</v>
      </c>
      <c r="E542">
        <v>19</v>
      </c>
    </row>
    <row r="543" spans="1:5" x14ac:dyDescent="0.3">
      <c r="A543" s="3" t="s">
        <v>592</v>
      </c>
      <c r="B543" t="s">
        <v>446</v>
      </c>
      <c r="C543" t="s">
        <v>358</v>
      </c>
      <c r="D543" t="str">
        <f t="shared" si="9"/>
        <v>Opere_Difesa_SuoloOPERE_FIUMI_PLdiga</v>
      </c>
      <c r="E543">
        <v>1</v>
      </c>
    </row>
    <row r="544" spans="1:5" x14ac:dyDescent="0.3">
      <c r="A544" s="3" t="s">
        <v>592</v>
      </c>
      <c r="B544" t="s">
        <v>426</v>
      </c>
      <c r="C544" t="s">
        <v>347</v>
      </c>
      <c r="D544" t="str">
        <f t="shared" si="9"/>
        <v>Opere_Difesa_SuoloODS_TOT_lineemuro di terrazzamento</v>
      </c>
      <c r="E544">
        <v>34</v>
      </c>
    </row>
    <row r="545" spans="1:5" x14ac:dyDescent="0.3">
      <c r="A545" s="3" t="s">
        <v>592</v>
      </c>
      <c r="B545" t="s">
        <v>426</v>
      </c>
      <c r="C545" t="s">
        <v>359</v>
      </c>
      <c r="D545" t="str">
        <f t="shared" si="9"/>
        <v>Opere_Difesa_SuoloODS_TOT_lineeponte da neve</v>
      </c>
      <c r="E545">
        <v>323</v>
      </c>
    </row>
    <row r="546" spans="1:5" x14ac:dyDescent="0.3">
      <c r="A546" s="3" t="s">
        <v>592</v>
      </c>
      <c r="B546" t="s">
        <v>426</v>
      </c>
      <c r="C546" t="s">
        <v>366</v>
      </c>
      <c r="D546" t="str">
        <f t="shared" si="9"/>
        <v>Opere_Difesa_SuoloODS_TOT_lineedrenaggio superficiale</v>
      </c>
      <c r="E546">
        <v>346</v>
      </c>
    </row>
    <row r="547" spans="1:5" x14ac:dyDescent="0.3">
      <c r="A547" s="3" t="s">
        <v>592</v>
      </c>
      <c r="B547" t="s">
        <v>426</v>
      </c>
      <c r="C547" t="s">
        <v>340</v>
      </c>
      <c r="D547" t="str">
        <f t="shared" si="9"/>
        <v>Opere_Difesa_SuoloODS_TOT_lineeargine</v>
      </c>
      <c r="E547">
        <v>3566</v>
      </c>
    </row>
    <row r="548" spans="1:5" x14ac:dyDescent="0.3">
      <c r="A548" s="3" t="s">
        <v>592</v>
      </c>
      <c r="B548" t="s">
        <v>426</v>
      </c>
      <c r="C548" t="s">
        <v>336</v>
      </c>
      <c r="D548" t="str">
        <f t="shared" si="9"/>
        <v>Opere_Difesa_SuoloODS_TOT_lineebriglia di trattenuta</v>
      </c>
      <c r="E548">
        <v>2498</v>
      </c>
    </row>
    <row r="549" spans="1:5" x14ac:dyDescent="0.3">
      <c r="A549" s="3" t="s">
        <v>592</v>
      </c>
      <c r="B549" t="s">
        <v>426</v>
      </c>
      <c r="C549" t="s">
        <v>348</v>
      </c>
      <c r="D549" t="str">
        <f t="shared" si="9"/>
        <v>Opere_Difesa_SuoloODS_TOT_lineemuratura</v>
      </c>
      <c r="E549">
        <v>1257</v>
      </c>
    </row>
    <row r="550" spans="1:5" x14ac:dyDescent="0.3">
      <c r="A550" s="3" t="s">
        <v>592</v>
      </c>
      <c r="B550" t="s">
        <v>426</v>
      </c>
      <c r="C550" t="s">
        <v>392</v>
      </c>
      <c r="D550" t="str">
        <f t="shared" si="9"/>
        <v>Opere_Difesa_SuoloODS_TOT_lineetrincea drenante</v>
      </c>
      <c r="E550">
        <v>598</v>
      </c>
    </row>
    <row r="551" spans="1:5" x14ac:dyDescent="0.3">
      <c r="A551" s="3" t="s">
        <v>592</v>
      </c>
      <c r="B551" t="s">
        <v>426</v>
      </c>
      <c r="C551" t="s">
        <v>343</v>
      </c>
      <c r="D551" t="str">
        <f t="shared" si="9"/>
        <v>Opere_Difesa_SuoloODS_TOT_lineescogliera</v>
      </c>
      <c r="E551">
        <v>2929</v>
      </c>
    </row>
    <row r="552" spans="1:5" x14ac:dyDescent="0.3">
      <c r="A552" s="3" t="s">
        <v>592</v>
      </c>
      <c r="B552" t="s">
        <v>426</v>
      </c>
      <c r="C552" t="s">
        <v>395</v>
      </c>
      <c r="D552" t="str">
        <f t="shared" si="9"/>
        <v>Opere_Difesa_SuoloODS_TOT_lineebarriera</v>
      </c>
      <c r="E552">
        <v>586</v>
      </c>
    </row>
    <row r="553" spans="1:5" x14ac:dyDescent="0.3">
      <c r="A553" s="3" t="s">
        <v>592</v>
      </c>
      <c r="B553" t="s">
        <v>426</v>
      </c>
      <c r="C553" t="s">
        <v>422</v>
      </c>
      <c r="D553" t="str">
        <f t="shared" si="9"/>
        <v>Opere_Difesa_SuoloODS_TOT_lineerete elastoplastica</v>
      </c>
      <c r="E553">
        <v>62</v>
      </c>
    </row>
    <row r="554" spans="1:5" x14ac:dyDescent="0.3">
      <c r="A554" s="3" t="s">
        <v>592</v>
      </c>
      <c r="B554" t="s">
        <v>426</v>
      </c>
      <c r="C554" t="s">
        <v>365</v>
      </c>
      <c r="D554" t="str">
        <f t="shared" si="9"/>
        <v>Opere_Difesa_SuoloODS_TOT_lineegrata viva</v>
      </c>
      <c r="E554">
        <v>65</v>
      </c>
    </row>
    <row r="555" spans="1:5" x14ac:dyDescent="0.3">
      <c r="A555" s="3" t="s">
        <v>592</v>
      </c>
      <c r="B555" t="s">
        <v>426</v>
      </c>
      <c r="C555" t="s">
        <v>414</v>
      </c>
      <c r="D555" t="str">
        <f t="shared" si="9"/>
        <v>Opere_Difesa_SuoloODS_TOT_lineemuro cellulare</v>
      </c>
      <c r="E555">
        <v>57</v>
      </c>
    </row>
    <row r="556" spans="1:5" x14ac:dyDescent="0.3">
      <c r="A556" s="3" t="s">
        <v>592</v>
      </c>
      <c r="B556" t="s">
        <v>426</v>
      </c>
      <c r="C556" t="s">
        <v>342</v>
      </c>
      <c r="D556" t="str">
        <f t="shared" si="9"/>
        <v>Opere_Difesa_SuoloODS_TOT_lineebriglia filtrante</v>
      </c>
      <c r="E556">
        <v>214</v>
      </c>
    </row>
    <row r="557" spans="1:5" x14ac:dyDescent="0.3">
      <c r="A557" s="3" t="s">
        <v>592</v>
      </c>
      <c r="B557" t="s">
        <v>426</v>
      </c>
      <c r="C557" t="s">
        <v>352</v>
      </c>
      <c r="D557" t="str">
        <f t="shared" si="9"/>
        <v>Opere_Difesa_SuoloODS_TOT_lineerete</v>
      </c>
      <c r="E557">
        <v>121</v>
      </c>
    </row>
    <row r="558" spans="1:5" x14ac:dyDescent="0.3">
      <c r="A558" s="3" t="s">
        <v>592</v>
      </c>
      <c r="B558" t="s">
        <v>426</v>
      </c>
      <c r="C558" t="s">
        <v>439</v>
      </c>
      <c r="D558" t="str">
        <f t="shared" si="9"/>
        <v>Opere_Difesa_SuoloODS_TOT_lineeparatia</v>
      </c>
      <c r="E558">
        <v>9</v>
      </c>
    </row>
    <row r="559" spans="1:5" x14ac:dyDescent="0.3">
      <c r="A559" s="3" t="s">
        <v>592</v>
      </c>
      <c r="B559" t="s">
        <v>426</v>
      </c>
      <c r="C559" t="s">
        <v>405</v>
      </c>
      <c r="D559" t="str">
        <f t="shared" si="9"/>
        <v>Opere_Difesa_SuoloODS_TOT_lineesondaggio geognostico</v>
      </c>
      <c r="E559">
        <v>7</v>
      </c>
    </row>
    <row r="560" spans="1:5" x14ac:dyDescent="0.3">
      <c r="A560" s="3" t="s">
        <v>592</v>
      </c>
      <c r="B560" t="s">
        <v>426</v>
      </c>
      <c r="C560" t="s">
        <v>394</v>
      </c>
      <c r="D560" t="str">
        <f t="shared" si="9"/>
        <v>Opere_Difesa_SuoloODS_TOT_lineebriglia</v>
      </c>
      <c r="E560">
        <v>1723</v>
      </c>
    </row>
    <row r="561" spans="1:5" x14ac:dyDescent="0.3">
      <c r="A561" s="3" t="s">
        <v>592</v>
      </c>
      <c r="B561" t="s">
        <v>426</v>
      </c>
      <c r="C561" t="s">
        <v>344</v>
      </c>
      <c r="D561" t="str">
        <f t="shared" si="9"/>
        <v>Opere_Difesa_SuoloODS_TOT_lineesoglia</v>
      </c>
      <c r="E561">
        <v>2228</v>
      </c>
    </row>
    <row r="562" spans="1:5" x14ac:dyDescent="0.3">
      <c r="A562" s="3" t="s">
        <v>592</v>
      </c>
      <c r="B562" t="s">
        <v>426</v>
      </c>
      <c r="C562" t="s">
        <v>351</v>
      </c>
      <c r="D562" t="str">
        <f t="shared" si="9"/>
        <v>Opere_Difesa_SuoloODS_TOT_lineerilevato paramassi</v>
      </c>
      <c r="E562">
        <v>36</v>
      </c>
    </row>
    <row r="563" spans="1:5" x14ac:dyDescent="0.3">
      <c r="A563" s="3" t="s">
        <v>592</v>
      </c>
      <c r="B563" t="s">
        <v>426</v>
      </c>
      <c r="C563" t="s">
        <v>337</v>
      </c>
      <c r="D563" t="str">
        <f t="shared" si="9"/>
        <v>Opere_Difesa_SuoloODS_TOT_lineeviminata e palizzata viva</v>
      </c>
      <c r="E563">
        <v>675</v>
      </c>
    </row>
    <row r="564" spans="1:5" x14ac:dyDescent="0.3">
      <c r="A564" s="3" t="s">
        <v>592</v>
      </c>
      <c r="B564" t="s">
        <v>426</v>
      </c>
      <c r="C564" t="s">
        <v>341</v>
      </c>
      <c r="D564" t="str">
        <f t="shared" si="9"/>
        <v>Opere_Difesa_SuoloODS_TOT_lineecanale artificiale</v>
      </c>
      <c r="E564">
        <v>718</v>
      </c>
    </row>
    <row r="565" spans="1:5" x14ac:dyDescent="0.3">
      <c r="A565" s="3" t="s">
        <v>592</v>
      </c>
      <c r="B565" t="s">
        <v>426</v>
      </c>
      <c r="C565" t="s">
        <v>346</v>
      </c>
      <c r="D565" t="str">
        <f t="shared" si="9"/>
        <v>Opere_Difesa_SuoloODS_TOT_lineetombotto</v>
      </c>
      <c r="E565">
        <v>208</v>
      </c>
    </row>
    <row r="566" spans="1:5" x14ac:dyDescent="0.3">
      <c r="A566" s="3" t="s">
        <v>592</v>
      </c>
      <c r="B566" t="s">
        <v>426</v>
      </c>
      <c r="C566" t="s">
        <v>413</v>
      </c>
      <c r="D566" t="str">
        <f t="shared" si="9"/>
        <v>Opere_Difesa_SuoloODS_TOT_lineemuro in cemento armato</v>
      </c>
      <c r="E566">
        <v>811</v>
      </c>
    </row>
    <row r="567" spans="1:5" x14ac:dyDescent="0.3">
      <c r="A567" s="3" t="s">
        <v>592</v>
      </c>
      <c r="B567" t="s">
        <v>426</v>
      </c>
      <c r="C567" t="s">
        <v>339</v>
      </c>
      <c r="D567" t="str">
        <f t="shared" si="9"/>
        <v>Opere_Difesa_SuoloODS_TOT_lineeselciatone</v>
      </c>
      <c r="E567">
        <v>381</v>
      </c>
    </row>
    <row r="568" spans="1:5" x14ac:dyDescent="0.3">
      <c r="A568" s="3" t="s">
        <v>592</v>
      </c>
      <c r="B568" t="s">
        <v>426</v>
      </c>
      <c r="C568" t="s">
        <v>350</v>
      </c>
      <c r="D568" t="str">
        <f t="shared" si="9"/>
        <v>Opere_Difesa_SuoloODS_TOT_lineerisagomatura alveo</v>
      </c>
      <c r="E568">
        <v>923</v>
      </c>
    </row>
    <row r="569" spans="1:5" x14ac:dyDescent="0.3">
      <c r="A569" s="3" t="s">
        <v>592</v>
      </c>
      <c r="B569" t="s">
        <v>426</v>
      </c>
      <c r="C569" t="s">
        <v>370</v>
      </c>
      <c r="D569" t="str">
        <f t="shared" si="9"/>
        <v>Opere_Difesa_SuoloODS_TOT_lineedrenaggio profondo</v>
      </c>
      <c r="E569">
        <v>3914</v>
      </c>
    </row>
    <row r="570" spans="1:5" x14ac:dyDescent="0.3">
      <c r="A570" s="3" t="s">
        <v>592</v>
      </c>
      <c r="B570" t="s">
        <v>426</v>
      </c>
      <c r="C570" t="s">
        <v>363</v>
      </c>
      <c r="D570" t="str">
        <f t="shared" si="9"/>
        <v>Opere_Difesa_SuoloODS_TOT_lineesvaso</v>
      </c>
      <c r="E570">
        <v>208</v>
      </c>
    </row>
    <row r="571" spans="1:5" x14ac:dyDescent="0.3">
      <c r="A571" s="3" t="s">
        <v>592</v>
      </c>
      <c r="B571" t="s">
        <v>426</v>
      </c>
      <c r="C571" t="s">
        <v>388</v>
      </c>
      <c r="D571" t="str">
        <f t="shared" si="9"/>
        <v>Opere_Difesa_SuoloODS_TOT_lineeponte</v>
      </c>
      <c r="E571">
        <v>258</v>
      </c>
    </row>
    <row r="572" spans="1:5" x14ac:dyDescent="0.3">
      <c r="A572" s="3" t="s">
        <v>592</v>
      </c>
      <c r="B572" t="s">
        <v>426</v>
      </c>
      <c r="C572" t="s">
        <v>364</v>
      </c>
      <c r="D572" t="str">
        <f t="shared" si="9"/>
        <v>Opere_Difesa_SuoloODS_TOT_lineetombinatura</v>
      </c>
      <c r="E572">
        <v>385</v>
      </c>
    </row>
    <row r="573" spans="1:5" x14ac:dyDescent="0.3">
      <c r="A573" s="3" t="s">
        <v>592</v>
      </c>
      <c r="B573" t="s">
        <v>426</v>
      </c>
      <c r="C573" t="s">
        <v>335</v>
      </c>
      <c r="D573" t="str">
        <f t="shared" si="9"/>
        <v>Opere_Difesa_SuoloODS_TOT_lineepalificata viva</v>
      </c>
      <c r="E573">
        <v>577</v>
      </c>
    </row>
    <row r="574" spans="1:5" x14ac:dyDescent="0.3">
      <c r="A574" s="3" t="s">
        <v>592</v>
      </c>
      <c r="B574" t="s">
        <v>426</v>
      </c>
      <c r="C574" t="s">
        <v>334</v>
      </c>
      <c r="D574" t="str">
        <f t="shared" si="9"/>
        <v>Opere_Difesa_SuoloODS_TOT_lineegradonata viva</v>
      </c>
      <c r="E574">
        <v>75</v>
      </c>
    </row>
    <row r="575" spans="1:5" x14ac:dyDescent="0.3">
      <c r="A575" s="3" t="s">
        <v>592</v>
      </c>
      <c r="B575" t="s">
        <v>426</v>
      </c>
      <c r="C575" t="s">
        <v>371</v>
      </c>
      <c r="D575" t="str">
        <f t="shared" si="9"/>
        <v>Opere_Difesa_SuoloODS_TOT_lineegabbionata</v>
      </c>
      <c r="E575">
        <v>1221</v>
      </c>
    </row>
    <row r="576" spans="1:5" x14ac:dyDescent="0.3">
      <c r="A576" s="3" t="s">
        <v>592</v>
      </c>
      <c r="B576" t="s">
        <v>426</v>
      </c>
      <c r="C576" t="s">
        <v>367</v>
      </c>
      <c r="D576" t="str">
        <f t="shared" si="9"/>
        <v>Opere_Difesa_SuoloODS_TOT_lineecunettone</v>
      </c>
      <c r="E576">
        <v>178</v>
      </c>
    </row>
    <row r="577" spans="1:5" x14ac:dyDescent="0.3">
      <c r="A577" s="3" t="s">
        <v>592</v>
      </c>
      <c r="B577" t="s">
        <v>426</v>
      </c>
      <c r="C577" t="s">
        <v>424</v>
      </c>
      <c r="D577" t="str">
        <f t="shared" si="9"/>
        <v>Opere_Difesa_SuoloODS_TOT_lineeindagine elettrica</v>
      </c>
      <c r="E577">
        <v>17</v>
      </c>
    </row>
    <row r="578" spans="1:5" x14ac:dyDescent="0.3">
      <c r="A578" s="3" t="s">
        <v>592</v>
      </c>
      <c r="B578" t="s">
        <v>426</v>
      </c>
      <c r="C578" t="s">
        <v>419</v>
      </c>
      <c r="D578" t="str">
        <f t="shared" si="9"/>
        <v>Opere_Difesa_SuoloODS_TOT_lineepennello</v>
      </c>
      <c r="E578">
        <v>72</v>
      </c>
    </row>
    <row r="579" spans="1:5" x14ac:dyDescent="0.3">
      <c r="A579" s="3" t="s">
        <v>592</v>
      </c>
      <c r="B579" t="s">
        <v>426</v>
      </c>
      <c r="C579" t="s">
        <v>415</v>
      </c>
      <c r="D579" t="str">
        <f t="shared" ref="D579:D637" si="10">_xlfn.CONCAT(A579,B579,C579)</f>
        <v>Opere_Difesa_SuoloODS_TOT_lineeopera di presa/restituzione</v>
      </c>
      <c r="E579">
        <v>36</v>
      </c>
    </row>
    <row r="580" spans="1:5" x14ac:dyDescent="0.3">
      <c r="A580" s="3" t="s">
        <v>592</v>
      </c>
      <c r="B580" t="s">
        <v>426</v>
      </c>
      <c r="C580" t="s">
        <v>373</v>
      </c>
      <c r="D580" t="str">
        <f t="shared" si="10"/>
        <v>Opere_Difesa_SuoloODS_TOT_lineemuro</v>
      </c>
      <c r="E580">
        <v>1524</v>
      </c>
    </row>
    <row r="581" spans="1:5" x14ac:dyDescent="0.3">
      <c r="A581" s="3" t="s">
        <v>592</v>
      </c>
      <c r="B581" t="s">
        <v>426</v>
      </c>
      <c r="C581" t="s">
        <v>374</v>
      </c>
      <c r="D581" t="str">
        <f t="shared" si="10"/>
        <v>Opere_Difesa_SuoloODS_TOT_lineevasca di accumulo</v>
      </c>
      <c r="E581">
        <v>23</v>
      </c>
    </row>
    <row r="582" spans="1:5" x14ac:dyDescent="0.3">
      <c r="A582" s="3" t="s">
        <v>592</v>
      </c>
      <c r="B582" t="s">
        <v>426</v>
      </c>
      <c r="C582" t="s">
        <v>435</v>
      </c>
      <c r="D582" t="str">
        <f t="shared" si="10"/>
        <v>Opere_Difesa_SuoloODS_TOT_lineebarriera rigida</v>
      </c>
      <c r="E582">
        <v>57</v>
      </c>
    </row>
    <row r="583" spans="1:5" x14ac:dyDescent="0.3">
      <c r="A583" s="3" t="s">
        <v>592</v>
      </c>
      <c r="B583" t="s">
        <v>426</v>
      </c>
      <c r="C583" t="s">
        <v>357</v>
      </c>
      <c r="D583" t="str">
        <f t="shared" si="10"/>
        <v>Opere_Difesa_SuoloODS_TOT_lineeterra armata/rinforzata</v>
      </c>
      <c r="E583">
        <v>34</v>
      </c>
    </row>
    <row r="584" spans="1:5" x14ac:dyDescent="0.3">
      <c r="A584" s="3" t="s">
        <v>592</v>
      </c>
      <c r="B584" t="s">
        <v>426</v>
      </c>
      <c r="C584" t="s">
        <v>400</v>
      </c>
      <c r="D584" t="str">
        <f t="shared" si="10"/>
        <v>Opere_Difesa_SuoloODS_TOT_lineereticolo micropali</v>
      </c>
      <c r="E584">
        <v>33</v>
      </c>
    </row>
    <row r="585" spans="1:5" x14ac:dyDescent="0.3">
      <c r="A585" s="3" t="s">
        <v>592</v>
      </c>
      <c r="B585" t="s">
        <v>426</v>
      </c>
      <c r="C585" t="s">
        <v>378</v>
      </c>
      <c r="D585" t="str">
        <f t="shared" si="10"/>
        <v>Opere_Difesa_SuoloODS_TOT_lineecanaletta</v>
      </c>
      <c r="E585">
        <v>1261</v>
      </c>
    </row>
    <row r="586" spans="1:5" x14ac:dyDescent="0.3">
      <c r="A586" s="3" t="s">
        <v>592</v>
      </c>
      <c r="B586" t="s">
        <v>426</v>
      </c>
      <c r="C586" t="s">
        <v>349</v>
      </c>
      <c r="D586" t="str">
        <f t="shared" si="10"/>
        <v>Opere_Difesa_SuoloODS_TOT_lineemovimento terra</v>
      </c>
      <c r="E586">
        <v>130</v>
      </c>
    </row>
    <row r="587" spans="1:5" x14ac:dyDescent="0.3">
      <c r="A587" s="3" t="s">
        <v>592</v>
      </c>
      <c r="B587" t="s">
        <v>426</v>
      </c>
      <c r="C587" t="s">
        <v>396</v>
      </c>
      <c r="D587" t="str">
        <f t="shared" si="10"/>
        <v>Opere_Difesa_SuoloODS_TOT_lineepali</v>
      </c>
      <c r="E587">
        <v>53</v>
      </c>
    </row>
    <row r="588" spans="1:5" x14ac:dyDescent="0.3">
      <c r="A588" s="3" t="s">
        <v>592</v>
      </c>
      <c r="B588" t="s">
        <v>426</v>
      </c>
      <c r="C588" t="s">
        <v>382</v>
      </c>
      <c r="D588" t="str">
        <f t="shared" si="10"/>
        <v>Opere_Difesa_SuoloODS_TOT_lineesvaso/pulizia alveo</v>
      </c>
      <c r="E588">
        <v>372</v>
      </c>
    </row>
    <row r="589" spans="1:5" x14ac:dyDescent="0.3">
      <c r="A589" s="3" t="s">
        <v>592</v>
      </c>
      <c r="B589" t="s">
        <v>426</v>
      </c>
      <c r="C589" t="s">
        <v>375</v>
      </c>
      <c r="D589" t="str">
        <f t="shared" si="10"/>
        <v>Opere_Difesa_SuoloODS_TOT_lineerete paramassi</v>
      </c>
      <c r="E589">
        <v>44</v>
      </c>
    </row>
    <row r="590" spans="1:5" x14ac:dyDescent="0.3">
      <c r="A590" s="3" t="s">
        <v>592</v>
      </c>
      <c r="B590" t="s">
        <v>426</v>
      </c>
      <c r="C590" t="s">
        <v>436</v>
      </c>
      <c r="D590" t="str">
        <f t="shared" si="10"/>
        <v>Opere_Difesa_SuoloODS_TOT_lineebarriera elastoplastica</v>
      </c>
      <c r="E590">
        <v>105</v>
      </c>
    </row>
    <row r="591" spans="1:5" x14ac:dyDescent="0.3">
      <c r="A591" s="3" t="s">
        <v>592</v>
      </c>
      <c r="B591" t="s">
        <v>426</v>
      </c>
      <c r="C591" t="s">
        <v>384</v>
      </c>
      <c r="D591" t="str">
        <f t="shared" si="10"/>
        <v>Opere_Difesa_SuoloODS_TOT_lineedreni sub-orizzontali</v>
      </c>
      <c r="E591">
        <v>71</v>
      </c>
    </row>
    <row r="592" spans="1:5" x14ac:dyDescent="0.3">
      <c r="A592" s="3" t="s">
        <v>592</v>
      </c>
      <c r="B592" t="s">
        <v>426</v>
      </c>
      <c r="C592" t="s">
        <v>381</v>
      </c>
      <c r="D592" t="str">
        <f t="shared" si="10"/>
        <v>Opere_Difesa_SuoloODS_TOT_lineedemolizione</v>
      </c>
      <c r="E592">
        <v>11</v>
      </c>
    </row>
    <row r="593" spans="1:5" x14ac:dyDescent="0.3">
      <c r="A593" s="3" t="s">
        <v>592</v>
      </c>
      <c r="B593" t="s">
        <v>426</v>
      </c>
      <c r="C593" t="s">
        <v>429</v>
      </c>
      <c r="D593" t="str">
        <f t="shared" si="10"/>
        <v>Opere_Difesa_SuoloODS_TOT_lineepennello/repellente</v>
      </c>
      <c r="E593">
        <v>56</v>
      </c>
    </row>
    <row r="594" spans="1:5" x14ac:dyDescent="0.3">
      <c r="A594" s="3" t="s">
        <v>592</v>
      </c>
      <c r="B594" t="s">
        <v>426</v>
      </c>
      <c r="C594" t="s">
        <v>383</v>
      </c>
      <c r="D594" t="str">
        <f t="shared" si="10"/>
        <v>Opere_Difesa_SuoloODS_TOT_lineecassa/vasca d'espansione</v>
      </c>
      <c r="E594">
        <v>5</v>
      </c>
    </row>
    <row r="595" spans="1:5" x14ac:dyDescent="0.3">
      <c r="A595" s="3" t="s">
        <v>592</v>
      </c>
      <c r="B595" t="s">
        <v>426</v>
      </c>
      <c r="C595" t="s">
        <v>362</v>
      </c>
      <c r="D595" t="str">
        <f t="shared" si="10"/>
        <v>Opere_Difesa_SuoloODS_TOT_lineeinerbimento</v>
      </c>
      <c r="E595">
        <v>18</v>
      </c>
    </row>
    <row r="596" spans="1:5" x14ac:dyDescent="0.3">
      <c r="A596" s="3" t="s">
        <v>592</v>
      </c>
      <c r="B596" t="s">
        <v>426</v>
      </c>
      <c r="C596" t="s">
        <v>368</v>
      </c>
      <c r="D596" t="str">
        <f t="shared" si="10"/>
        <v>Opere_Difesa_SuoloODS_TOT_lineefascinata viva</v>
      </c>
      <c r="E596">
        <v>232</v>
      </c>
    </row>
    <row r="597" spans="1:5" x14ac:dyDescent="0.3">
      <c r="A597" s="3" t="s">
        <v>592</v>
      </c>
      <c r="B597" t="s">
        <v>426</v>
      </c>
      <c r="C597" t="s">
        <v>360</v>
      </c>
      <c r="D597" t="str">
        <f t="shared" si="10"/>
        <v>Opere_Difesa_SuoloODS_TOT_lineedisgaggio</v>
      </c>
      <c r="E597">
        <v>17</v>
      </c>
    </row>
    <row r="598" spans="1:5" x14ac:dyDescent="0.3">
      <c r="A598" s="3" t="s">
        <v>592</v>
      </c>
      <c r="B598" t="s">
        <v>426</v>
      </c>
      <c r="C598" t="s">
        <v>432</v>
      </c>
      <c r="D598" t="str">
        <f t="shared" si="10"/>
        <v>Opere_Difesa_SuoloODS_TOT_lineedistometro</v>
      </c>
      <c r="E598">
        <v>8</v>
      </c>
    </row>
    <row r="599" spans="1:5" x14ac:dyDescent="0.3">
      <c r="A599" s="3" t="s">
        <v>592</v>
      </c>
      <c r="B599" t="s">
        <v>426</v>
      </c>
      <c r="C599" t="s">
        <v>338</v>
      </c>
      <c r="D599" t="str">
        <f t="shared" si="10"/>
        <v>Opere_Difesa_SuoloODS_TOT_lineeterrazzamento/gradonatura</v>
      </c>
      <c r="E599">
        <v>2</v>
      </c>
    </row>
    <row r="600" spans="1:5" x14ac:dyDescent="0.3">
      <c r="A600" s="3" t="s">
        <v>592</v>
      </c>
      <c r="B600" t="s">
        <v>426</v>
      </c>
      <c r="C600" t="s">
        <v>376</v>
      </c>
      <c r="D600" t="str">
        <f t="shared" si="10"/>
        <v>Opere_Difesa_SuoloODS_TOT_lineerilevato/vallo paramassi</v>
      </c>
      <c r="E600">
        <v>20</v>
      </c>
    </row>
    <row r="601" spans="1:5" x14ac:dyDescent="0.3">
      <c r="A601" s="3" t="s">
        <v>592</v>
      </c>
      <c r="B601" t="s">
        <v>426</v>
      </c>
      <c r="C601" t="s">
        <v>379</v>
      </c>
      <c r="D601" t="str">
        <f t="shared" si="10"/>
        <v>Opere_Difesa_SuoloODS_TOT_lineerivestimento antierosivo biodegradabile</v>
      </c>
      <c r="E601">
        <v>4</v>
      </c>
    </row>
    <row r="602" spans="1:5" x14ac:dyDescent="0.3">
      <c r="A602" s="3" t="s">
        <v>592</v>
      </c>
      <c r="B602" t="s">
        <v>426</v>
      </c>
      <c r="C602" t="s">
        <v>380</v>
      </c>
      <c r="D602" t="str">
        <f t="shared" si="10"/>
        <v>Opere_Difesa_SuoloODS_TOT_lineerimboschimento</v>
      </c>
      <c r="E602">
        <v>4</v>
      </c>
    </row>
    <row r="603" spans="1:5" x14ac:dyDescent="0.3">
      <c r="A603" s="3" t="s">
        <v>592</v>
      </c>
      <c r="B603" t="s">
        <v>426</v>
      </c>
      <c r="C603" t="s">
        <v>385</v>
      </c>
      <c r="D603" t="str">
        <f t="shared" si="10"/>
        <v>Opere_Difesa_SuoloODS_TOT_lineegalleria</v>
      </c>
      <c r="E603">
        <v>2</v>
      </c>
    </row>
    <row r="604" spans="1:5" x14ac:dyDescent="0.3">
      <c r="A604" s="3" t="s">
        <v>592</v>
      </c>
      <c r="B604" t="s">
        <v>426</v>
      </c>
      <c r="C604" t="s">
        <v>358</v>
      </c>
      <c r="D604" t="str">
        <f t="shared" si="10"/>
        <v>Opere_Difesa_SuoloODS_TOT_lineediga</v>
      </c>
      <c r="E604">
        <v>19</v>
      </c>
    </row>
    <row r="605" spans="1:5" x14ac:dyDescent="0.3">
      <c r="A605" s="3" t="s">
        <v>592</v>
      </c>
      <c r="B605" t="s">
        <v>426</v>
      </c>
      <c r="C605" t="s">
        <v>355</v>
      </c>
      <c r="D605" t="str">
        <f t="shared" si="10"/>
        <v>Opere_Difesa_SuoloODS_TOT_lineeimpermeabilizzazione</v>
      </c>
      <c r="E605">
        <v>24</v>
      </c>
    </row>
    <row r="606" spans="1:5" x14ac:dyDescent="0.3">
      <c r="A606" s="3" t="s">
        <v>592</v>
      </c>
      <c r="B606" t="s">
        <v>426</v>
      </c>
      <c r="C606" t="s">
        <v>377</v>
      </c>
      <c r="D606" t="str">
        <f t="shared" si="10"/>
        <v>Opere_Difesa_SuoloODS_TOT_lineepiantumazione</v>
      </c>
      <c r="E606">
        <v>28</v>
      </c>
    </row>
    <row r="607" spans="1:5" x14ac:dyDescent="0.3">
      <c r="A607" s="3" t="s">
        <v>592</v>
      </c>
      <c r="B607" t="s">
        <v>426</v>
      </c>
      <c r="C607" t="s">
        <v>441</v>
      </c>
      <c r="D607" t="str">
        <f t="shared" si="10"/>
        <v>Opere_Difesa_SuoloODS_TOT_lineeindagine sismica</v>
      </c>
      <c r="E607">
        <v>157</v>
      </c>
    </row>
    <row r="608" spans="1:5" x14ac:dyDescent="0.3">
      <c r="A608" s="3" t="s">
        <v>592</v>
      </c>
      <c r="B608" t="s">
        <v>426</v>
      </c>
      <c r="C608" t="s">
        <v>356</v>
      </c>
      <c r="D608" t="str">
        <f t="shared" si="10"/>
        <v>Opere_Difesa_SuoloODS_TOT_lineevallo/rilevato</v>
      </c>
      <c r="E608">
        <v>56</v>
      </c>
    </row>
    <row r="609" spans="1:5" x14ac:dyDescent="0.3">
      <c r="A609" s="3" t="s">
        <v>592</v>
      </c>
      <c r="B609" t="s">
        <v>426</v>
      </c>
      <c r="C609" t="s">
        <v>390</v>
      </c>
      <c r="D609" t="str">
        <f t="shared" si="10"/>
        <v>Opere_Difesa_SuoloODS_TOT_lineebarriera a funi parallele</v>
      </c>
      <c r="E609">
        <v>11</v>
      </c>
    </row>
    <row r="610" spans="1:5" x14ac:dyDescent="0.3">
      <c r="A610" s="3" t="s">
        <v>592</v>
      </c>
      <c r="B610" t="s">
        <v>426</v>
      </c>
      <c r="C610" t="s">
        <v>407</v>
      </c>
      <c r="D610" t="str">
        <f t="shared" si="10"/>
        <v>Opere_Difesa_SuoloODS_TOT_lineegalleria paramassi</v>
      </c>
      <c r="E610">
        <v>16</v>
      </c>
    </row>
    <row r="611" spans="1:5" x14ac:dyDescent="0.3">
      <c r="A611" s="3" t="s">
        <v>592</v>
      </c>
      <c r="B611" t="s">
        <v>426</v>
      </c>
      <c r="C611" t="s">
        <v>389</v>
      </c>
      <c r="D611" t="str">
        <f t="shared" si="10"/>
        <v>Opere_Difesa_SuoloODS_TOT_lineeancoraggio/tiranti</v>
      </c>
      <c r="E611">
        <v>1</v>
      </c>
    </row>
    <row r="612" spans="1:5" x14ac:dyDescent="0.3">
      <c r="A612" s="3" t="s">
        <v>592</v>
      </c>
      <c r="B612" t="s">
        <v>426</v>
      </c>
      <c r="C612" t="s">
        <v>410</v>
      </c>
      <c r="D612" t="str">
        <f t="shared" si="10"/>
        <v>Opere_Difesa_SuoloODS_TOT_lineemuro/argine</v>
      </c>
      <c r="E612">
        <v>42</v>
      </c>
    </row>
    <row r="613" spans="1:5" x14ac:dyDescent="0.3">
      <c r="A613" s="3" t="s">
        <v>592</v>
      </c>
      <c r="B613" t="s">
        <v>426</v>
      </c>
      <c r="C613" t="s">
        <v>386</v>
      </c>
      <c r="D613" t="str">
        <f t="shared" si="10"/>
        <v>Opere_Difesa_SuoloODS_TOT_lineerete da neve</v>
      </c>
      <c r="E613">
        <v>33</v>
      </c>
    </row>
    <row r="614" spans="1:5" x14ac:dyDescent="0.3">
      <c r="A614" s="3" t="s">
        <v>592</v>
      </c>
      <c r="B614" t="s">
        <v>426</v>
      </c>
      <c r="C614" t="s">
        <v>387</v>
      </c>
      <c r="D614" t="str">
        <f t="shared" si="10"/>
        <v>Opere_Difesa_SuoloODS_TOT_lineefrangivento</v>
      </c>
      <c r="E614">
        <v>4</v>
      </c>
    </row>
    <row r="615" spans="1:5" x14ac:dyDescent="0.3">
      <c r="A615" s="3" t="s">
        <v>592</v>
      </c>
      <c r="B615" t="s">
        <v>426</v>
      </c>
      <c r="C615" t="s">
        <v>409</v>
      </c>
      <c r="D615" t="str">
        <f t="shared" si="10"/>
        <v>Opere_Difesa_SuoloODS_TOT_lineedrenaggio</v>
      </c>
      <c r="E615">
        <v>422</v>
      </c>
    </row>
    <row r="616" spans="1:5" x14ac:dyDescent="0.3">
      <c r="A616" s="3" t="s">
        <v>592</v>
      </c>
      <c r="B616" t="s">
        <v>426</v>
      </c>
      <c r="C616" t="s">
        <v>421</v>
      </c>
      <c r="D616" t="str">
        <f t="shared" si="10"/>
        <v>Opere_Difesa_SuoloODS_TOT_lineemuro a secco</v>
      </c>
      <c r="E616">
        <v>294</v>
      </c>
    </row>
    <row r="617" spans="1:5" x14ac:dyDescent="0.3">
      <c r="A617" s="3" t="s">
        <v>592</v>
      </c>
      <c r="B617" t="s">
        <v>426</v>
      </c>
      <c r="C617" t="s">
        <v>598</v>
      </c>
      <c r="D617" t="str">
        <f t="shared" si="10"/>
        <v>Opere_Difesa_SuoloODS_TOT_lineegalleria paravalanghe</v>
      </c>
      <c r="E617">
        <v>8</v>
      </c>
    </row>
    <row r="618" spans="1:5" x14ac:dyDescent="0.3">
      <c r="A618" s="3" t="s">
        <v>592</v>
      </c>
      <c r="B618" t="s">
        <v>426</v>
      </c>
      <c r="C618" t="s">
        <v>442</v>
      </c>
      <c r="D618" t="str">
        <f t="shared" si="10"/>
        <v>Opere_Difesa_SuoloODS_TOT_lineeparatia di sostegno</v>
      </c>
      <c r="E618">
        <v>36</v>
      </c>
    </row>
    <row r="619" spans="1:5" x14ac:dyDescent="0.3">
      <c r="A619" s="3" t="s">
        <v>592</v>
      </c>
      <c r="B619" t="s">
        <v>426</v>
      </c>
      <c r="C619" t="s">
        <v>354</v>
      </c>
      <c r="D619" t="str">
        <f t="shared" si="10"/>
        <v>Opere_Difesa_SuoloODS_TOT_lineeimbracatura</v>
      </c>
      <c r="E619">
        <v>3</v>
      </c>
    </row>
    <row r="620" spans="1:5" x14ac:dyDescent="0.3">
      <c r="A620" s="3" t="s">
        <v>592</v>
      </c>
      <c r="B620" t="s">
        <v>426</v>
      </c>
      <c r="C620" t="s">
        <v>391</v>
      </c>
      <c r="D620" t="str">
        <f t="shared" si="10"/>
        <v>Opere_Difesa_SuoloODS_TOT_lineescoronamento</v>
      </c>
      <c r="E620">
        <v>16</v>
      </c>
    </row>
    <row r="621" spans="1:5" x14ac:dyDescent="0.3">
      <c r="A621" s="3" t="s">
        <v>592</v>
      </c>
      <c r="B621" t="s">
        <v>426</v>
      </c>
      <c r="C621" t="s">
        <v>420</v>
      </c>
      <c r="D621" t="str">
        <f t="shared" si="10"/>
        <v>Opere_Difesa_SuoloODS_TOT_lineetrincea paramassi</v>
      </c>
      <c r="E621">
        <v>4</v>
      </c>
    </row>
    <row r="622" spans="1:5" x14ac:dyDescent="0.3">
      <c r="A622" s="3" t="s">
        <v>592</v>
      </c>
      <c r="B622" t="s">
        <v>426</v>
      </c>
      <c r="C622" t="s">
        <v>408</v>
      </c>
      <c r="D622" t="str">
        <f t="shared" si="10"/>
        <v>Opere_Difesa_SuoloODS_TOT_lineesottomurazione</v>
      </c>
      <c r="E622">
        <v>105</v>
      </c>
    </row>
    <row r="623" spans="1:5" x14ac:dyDescent="0.3">
      <c r="A623" s="3" t="s">
        <v>592</v>
      </c>
      <c r="B623" t="s">
        <v>426</v>
      </c>
      <c r="C623" t="s">
        <v>433</v>
      </c>
      <c r="D623" t="str">
        <f t="shared" si="10"/>
        <v>Opere_Difesa_SuoloODS_TOT_lineeestensimetro</v>
      </c>
      <c r="E623">
        <v>5</v>
      </c>
    </row>
    <row r="624" spans="1:5" x14ac:dyDescent="0.3">
      <c r="A624" s="3" t="s">
        <v>592</v>
      </c>
      <c r="B624" t="s">
        <v>426</v>
      </c>
      <c r="C624" t="s">
        <v>599</v>
      </c>
      <c r="D624" t="str">
        <f t="shared" si="10"/>
        <v>Opere_Difesa_SuoloODS_TOT_lineedeflettore/acceleratore</v>
      </c>
      <c r="E624">
        <v>3</v>
      </c>
    </row>
    <row r="625" spans="1:5" x14ac:dyDescent="0.3">
      <c r="A625" s="3" t="s">
        <v>592</v>
      </c>
      <c r="B625" t="s">
        <v>426</v>
      </c>
      <c r="C625" t="s">
        <v>372</v>
      </c>
      <c r="D625" t="str">
        <f t="shared" si="10"/>
        <v>Opere_Difesa_SuoloODS_TOT_lineerivestimento antierosivo sintetico</v>
      </c>
      <c r="E625">
        <v>3</v>
      </c>
    </row>
    <row r="626" spans="1:5" x14ac:dyDescent="0.3">
      <c r="A626" s="3" t="s">
        <v>592</v>
      </c>
      <c r="B626" t="s">
        <v>426</v>
      </c>
      <c r="C626" t="s">
        <v>353</v>
      </c>
      <c r="D626" t="str">
        <f t="shared" si="10"/>
        <v>Opere_Difesa_SuoloODS_TOT_lineeancoraggio-tiranti</v>
      </c>
      <c r="E626">
        <v>34</v>
      </c>
    </row>
    <row r="627" spans="1:5" x14ac:dyDescent="0.3">
      <c r="A627" s="3" t="s">
        <v>592</v>
      </c>
      <c r="B627" t="s">
        <v>426</v>
      </c>
      <c r="C627" t="s">
        <v>397</v>
      </c>
      <c r="D627" t="str">
        <f t="shared" si="10"/>
        <v>Opere_Difesa_SuoloODS_TOT_lineecuneo filtrante</v>
      </c>
      <c r="E627">
        <v>6</v>
      </c>
    </row>
    <row r="628" spans="1:5" x14ac:dyDescent="0.3">
      <c r="A628" s="3" t="s">
        <v>592</v>
      </c>
      <c r="B628" t="s">
        <v>426</v>
      </c>
      <c r="C628" t="s">
        <v>398</v>
      </c>
      <c r="D628" t="str">
        <f t="shared" si="10"/>
        <v>Opere_Difesa_SuoloODS_TOT_lineecordonata</v>
      </c>
      <c r="E628">
        <v>54</v>
      </c>
    </row>
    <row r="629" spans="1:5" x14ac:dyDescent="0.3">
      <c r="A629" s="3" t="s">
        <v>592</v>
      </c>
      <c r="B629" t="s">
        <v>426</v>
      </c>
      <c r="C629" t="s">
        <v>393</v>
      </c>
      <c r="D629" t="str">
        <f t="shared" si="10"/>
        <v>Opere_Difesa_SuoloODS_TOT_lineedisboscamento</v>
      </c>
      <c r="E629">
        <v>32</v>
      </c>
    </row>
    <row r="630" spans="1:5" x14ac:dyDescent="0.3">
      <c r="A630" s="3" t="s">
        <v>592</v>
      </c>
      <c r="B630" t="s">
        <v>426</v>
      </c>
      <c r="C630" t="s">
        <v>440</v>
      </c>
      <c r="D630" t="str">
        <f t="shared" si="10"/>
        <v>Opere_Difesa_SuoloODS_TOT_lineerepellente</v>
      </c>
      <c r="E630">
        <v>5</v>
      </c>
    </row>
    <row r="631" spans="1:5" x14ac:dyDescent="0.3">
      <c r="A631" s="3" t="s">
        <v>592</v>
      </c>
      <c r="B631" t="s">
        <v>426</v>
      </c>
      <c r="C631" t="s">
        <v>402</v>
      </c>
      <c r="D631" t="str">
        <f t="shared" si="10"/>
        <v>Opere_Difesa_SuoloODS_TOT_lineedrenaggio sub-orizzontale</v>
      </c>
      <c r="E631">
        <v>271</v>
      </c>
    </row>
    <row r="632" spans="1:5" x14ac:dyDescent="0.3">
      <c r="A632" s="3" t="s">
        <v>592</v>
      </c>
      <c r="B632" t="s">
        <v>426</v>
      </c>
      <c r="C632" t="s">
        <v>428</v>
      </c>
      <c r="D632" t="str">
        <f t="shared" si="10"/>
        <v>Opere_Difesa_SuoloODS_TOT_lineegalleria drenante</v>
      </c>
      <c r="E632">
        <v>4</v>
      </c>
    </row>
    <row r="633" spans="1:5" x14ac:dyDescent="0.3">
      <c r="A633" s="3" t="s">
        <v>592</v>
      </c>
      <c r="B633" t="s">
        <v>426</v>
      </c>
      <c r="C633" t="s">
        <v>401</v>
      </c>
      <c r="D633" t="str">
        <f t="shared" si="10"/>
        <v>Opere_Difesa_SuoloODS_TOT_lineepiezometro</v>
      </c>
      <c r="E633">
        <v>3</v>
      </c>
    </row>
    <row r="634" spans="1:5" x14ac:dyDescent="0.3">
      <c r="A634" s="3" t="s">
        <v>592</v>
      </c>
      <c r="B634" t="s">
        <v>426</v>
      </c>
      <c r="C634" t="s">
        <v>412</v>
      </c>
      <c r="D634" t="str">
        <f t="shared" si="10"/>
        <v>Opere_Difesa_SuoloODS_TOT_lineevallo/rilevato caduta massi</v>
      </c>
      <c r="E634">
        <v>1</v>
      </c>
    </row>
    <row r="635" spans="1:5" x14ac:dyDescent="0.3">
      <c r="A635" s="3" t="s">
        <v>592</v>
      </c>
      <c r="B635" t="s">
        <v>426</v>
      </c>
      <c r="C635" t="s">
        <v>345</v>
      </c>
      <c r="D635" t="str">
        <f t="shared" si="10"/>
        <v>Opere_Difesa_SuoloODS_TOT_lineevasca di espansione</v>
      </c>
      <c r="E635">
        <v>1</v>
      </c>
    </row>
    <row r="636" spans="1:5" x14ac:dyDescent="0.3">
      <c r="A636" s="3" t="s">
        <v>592</v>
      </c>
      <c r="B636" t="s">
        <v>426</v>
      </c>
      <c r="C636" t="s">
        <v>369</v>
      </c>
      <c r="D636" t="str">
        <f t="shared" si="10"/>
        <v>Opere_Difesa_SuoloODS_TOT_lineeombrello da neve</v>
      </c>
      <c r="E636">
        <v>2</v>
      </c>
    </row>
    <row r="637" spans="1:5" x14ac:dyDescent="0.3">
      <c r="A637" s="3" t="s">
        <v>592</v>
      </c>
      <c r="B637" t="s">
        <v>426</v>
      </c>
      <c r="C637" t="s">
        <v>411</v>
      </c>
      <c r="D637" t="str">
        <f t="shared" si="10"/>
        <v>Opere_Difesa_SuoloODS_TOT_lineeiniezione/jet grouting</v>
      </c>
      <c r="E637">
        <v>1</v>
      </c>
    </row>
  </sheetData>
  <phoneticPr fontId="1" type="noConversion"/>
  <conditionalFormatting sqref="C638:D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96DD-B628-4423-BEB3-480DB03B0600}">
  <dimension ref="B1:AQ637"/>
  <sheetViews>
    <sheetView tabSelected="1" topLeftCell="D1" zoomScale="60" zoomScaleNormal="60" workbookViewId="0">
      <selection activeCell="R18" sqref="R18"/>
    </sheetView>
  </sheetViews>
  <sheetFormatPr defaultRowHeight="14.4" x14ac:dyDescent="0.3"/>
  <cols>
    <col min="1" max="1" width="25.5546875" bestFit="1" customWidth="1"/>
    <col min="2" max="2" width="30.33203125" customWidth="1"/>
    <col min="3" max="3" width="61.5546875" customWidth="1"/>
    <col min="4" max="6" width="38.6640625" customWidth="1"/>
    <col min="7" max="7" width="69.44140625" style="6" bestFit="1" customWidth="1"/>
    <col min="8" max="8" width="48.21875" customWidth="1"/>
    <col min="9" max="9" width="28.77734375" customWidth="1"/>
    <col min="10" max="10" width="80.109375" hidden="1" customWidth="1"/>
    <col min="11" max="11" width="35.33203125" customWidth="1"/>
    <col min="12" max="12" width="29.88671875" bestFit="1" customWidth="1"/>
    <col min="18" max="18" width="55.33203125" customWidth="1"/>
    <col min="19" max="19" width="10.33203125" bestFit="1" customWidth="1"/>
    <col min="22" max="22" width="26.88671875" customWidth="1"/>
    <col min="27" max="27" width="59" bestFit="1" customWidth="1"/>
    <col min="28" max="28" width="16" bestFit="1" customWidth="1"/>
    <col min="29" max="29" width="17.33203125" bestFit="1" customWidth="1"/>
    <col min="33" max="33" width="59" bestFit="1" customWidth="1"/>
    <col min="34" max="34" width="13.21875" bestFit="1" customWidth="1"/>
    <col min="41" max="43" width="0" hidden="1" customWidth="1"/>
  </cols>
  <sheetData>
    <row r="1" spans="2:43" s="4" customFormat="1" ht="18" x14ac:dyDescent="0.35">
      <c r="B1" s="10" t="s">
        <v>9</v>
      </c>
      <c r="C1" s="10" t="s">
        <v>582</v>
      </c>
      <c r="D1" s="10" t="s">
        <v>585</v>
      </c>
      <c r="E1" s="10" t="s">
        <v>597</v>
      </c>
      <c r="F1" s="10" t="s">
        <v>645</v>
      </c>
      <c r="G1" s="11" t="s">
        <v>590</v>
      </c>
      <c r="H1" s="9" t="s">
        <v>583</v>
      </c>
      <c r="I1" s="10" t="s">
        <v>584</v>
      </c>
      <c r="J1" s="10" t="s">
        <v>601</v>
      </c>
      <c r="K1" s="10" t="s">
        <v>600</v>
      </c>
      <c r="L1" s="10" t="s">
        <v>613</v>
      </c>
      <c r="AA1" t="s">
        <v>646</v>
      </c>
      <c r="AB1" t="s">
        <v>660</v>
      </c>
    </row>
    <row r="2" spans="2:43" x14ac:dyDescent="0.3">
      <c r="B2" s="3" t="s">
        <v>594</v>
      </c>
      <c r="C2" t="s">
        <v>328</v>
      </c>
      <c r="D2" t="s">
        <v>586</v>
      </c>
      <c r="E2" t="str">
        <f>IF(Tabella1[[#This Row],[Data type]]= "GEOMORPHOLOGICAL DATA", "G", "N")</f>
        <v>G</v>
      </c>
      <c r="F2" t="s">
        <v>637</v>
      </c>
      <c r="G2" s="2" t="s">
        <v>512</v>
      </c>
      <c r="H2" s="2" t="s">
        <v>631</v>
      </c>
      <c r="I2" t="s">
        <v>632</v>
      </c>
      <c r="J2" t="str">
        <f t="shared" ref="J2:J65" si="0">_xlfn.CONCAT(B2,C2,G2)</f>
        <v>dissesti_IFFIfr_aree10 (Aree soggette a sprofondamenti diffusi)</v>
      </c>
      <c r="K2">
        <f>_xlfn.XLOOKUP(Tabella1[[#This Row],[Concatenato]],'Original data'!D:D,'Original data'!E:E)</f>
        <v>8867</v>
      </c>
      <c r="L2" t="s">
        <v>618</v>
      </c>
      <c r="AA2" t="s">
        <v>647</v>
      </c>
      <c r="AB2" t="s">
        <v>640</v>
      </c>
    </row>
    <row r="3" spans="2:43" ht="15.6" x14ac:dyDescent="0.3">
      <c r="B3" s="3" t="s">
        <v>594</v>
      </c>
      <c r="C3" t="s">
        <v>331</v>
      </c>
      <c r="D3" t="s">
        <v>586</v>
      </c>
      <c r="E3" t="str">
        <f>IF(Tabella1[[#This Row],[Data type]]= "GEOMORPHOLOGICAL DATA", "G", "N")</f>
        <v>G</v>
      </c>
      <c r="F3" t="s">
        <v>637</v>
      </c>
      <c r="G3" s="2" t="s">
        <v>512</v>
      </c>
      <c r="H3" s="2" t="s">
        <v>631</v>
      </c>
      <c r="I3" t="s">
        <v>632</v>
      </c>
      <c r="J3" t="str">
        <f t="shared" si="0"/>
        <v>dissesti_IFFIfr_iffi10 (Aree soggette a sprofondamenti diffusi)</v>
      </c>
      <c r="K3">
        <f>_xlfn.XLOOKUP(Tabella1[[#This Row],[Concatenato]],'Original data'!D:D,'Original data'!E:E)</f>
        <v>6</v>
      </c>
      <c r="L3" t="s">
        <v>618</v>
      </c>
      <c r="R3" t="s">
        <v>603</v>
      </c>
      <c r="S3">
        <f>COUNTA(_xlfn.UNIQUE(I:I))</f>
        <v>72</v>
      </c>
      <c r="V3" t="s">
        <v>609</v>
      </c>
      <c r="W3">
        <f>SUMIF(I:I,"&lt;&gt;",K:K)</f>
        <v>373901</v>
      </c>
      <c r="AA3" t="s">
        <v>648</v>
      </c>
      <c r="AB3" t="s">
        <v>641</v>
      </c>
      <c r="AO3" s="9" t="s">
        <v>624</v>
      </c>
      <c r="AP3">
        <f>COUNTIF(L:L,"D")</f>
        <v>34</v>
      </c>
      <c r="AQ3">
        <f>SUMIF(L:L, "D", K:K)</f>
        <v>8783</v>
      </c>
    </row>
    <row r="4" spans="2:43" ht="15.6" x14ac:dyDescent="0.3">
      <c r="B4" s="5" t="s">
        <v>8</v>
      </c>
      <c r="C4" t="s">
        <v>78</v>
      </c>
      <c r="D4" t="s">
        <v>586</v>
      </c>
      <c r="E4" t="str">
        <f>IF(Tabella1[[#This Row],[Data type]]= "GEOMORPHOLOGICAL DATA", "G", "N")</f>
        <v>G</v>
      </c>
      <c r="F4" t="s">
        <v>634</v>
      </c>
      <c r="G4" s="6" t="s">
        <v>79</v>
      </c>
      <c r="H4" s="7" t="s">
        <v>522</v>
      </c>
      <c r="I4" t="s">
        <v>475</v>
      </c>
      <c r="J4" t="str">
        <f t="shared" si="0"/>
        <v>geoambientaliOS_GEP_WGSorlo di scarpata di origine antropica</v>
      </c>
      <c r="K4">
        <f>_xlfn.XLOOKUP(Tabella1[[#This Row],[Concatenato]],'Original data'!D:D,'Original data'!E:E)</f>
        <v>6401</v>
      </c>
      <c r="L4" t="s">
        <v>618</v>
      </c>
      <c r="R4" t="s">
        <v>604</v>
      </c>
      <c r="S4">
        <f>COUNTA(_xlfn.UNIQUE(G:G))</f>
        <v>418</v>
      </c>
      <c r="V4" t="s">
        <v>608</v>
      </c>
      <c r="W4">
        <f>SUM(K:K)</f>
        <v>1119557</v>
      </c>
      <c r="AA4" t="s">
        <v>649</v>
      </c>
      <c r="AB4" t="s">
        <v>661</v>
      </c>
      <c r="AO4" s="9" t="s">
        <v>625</v>
      </c>
      <c r="AP4">
        <f>COUNTIF(L:L,"F1")</f>
        <v>3</v>
      </c>
      <c r="AQ4">
        <f>SUMIF(L:L, "F1", K:K)</f>
        <v>2876</v>
      </c>
    </row>
    <row r="5" spans="2:43" ht="15.6" x14ac:dyDescent="0.3">
      <c r="B5" s="5" t="s">
        <v>8</v>
      </c>
      <c r="C5" t="s">
        <v>78</v>
      </c>
      <c r="D5" t="s">
        <v>586</v>
      </c>
      <c r="E5" t="str">
        <f>IF(Tabella1[[#This Row],[Data type]]= "GEOMORPHOLOGICAL DATA", "G", "N")</f>
        <v>G</v>
      </c>
      <c r="F5" t="s">
        <v>634</v>
      </c>
      <c r="G5" s="6" t="s">
        <v>85</v>
      </c>
      <c r="H5" s="7" t="s">
        <v>522</v>
      </c>
      <c r="I5" t="s">
        <v>475</v>
      </c>
      <c r="J5" t="str">
        <f t="shared" si="0"/>
        <v>geoambientaliOS_GEP_WGSorlo di scarpata di cava o miniera a cielo aperto</v>
      </c>
      <c r="K5">
        <f>_xlfn.XLOOKUP(Tabella1[[#This Row],[Concatenato]],'Original data'!D:D,'Original data'!E:E)</f>
        <v>568</v>
      </c>
      <c r="L5" t="s">
        <v>618</v>
      </c>
      <c r="R5" t="s">
        <v>605</v>
      </c>
      <c r="S5" cm="1">
        <f t="array" ref="S5">SUM(IF((E2:E10000="N")*(G2:G10000&lt;&gt;""), 1/COUNTIF(G2:G10000, G2:G10000)))</f>
        <v>225.00000000000023</v>
      </c>
      <c r="V5" t="s">
        <v>610</v>
      </c>
      <c r="W5">
        <f>SUMIF(E:E, "N", K:K)</f>
        <v>568151</v>
      </c>
      <c r="AA5" t="s">
        <v>650</v>
      </c>
      <c r="AB5" t="s">
        <v>636</v>
      </c>
      <c r="AO5" s="9" t="s">
        <v>628</v>
      </c>
      <c r="AP5">
        <f>COUNTIF(L:L,"F2")</f>
        <v>27</v>
      </c>
      <c r="AQ5">
        <f>SUMIF(L:L, "F2", K:K)</f>
        <v>220303</v>
      </c>
    </row>
    <row r="6" spans="2:43" ht="15.6" x14ac:dyDescent="0.3">
      <c r="B6" s="5" t="s">
        <v>595</v>
      </c>
      <c r="C6" t="s">
        <v>259</v>
      </c>
      <c r="D6" t="s">
        <v>586</v>
      </c>
      <c r="E6" t="str">
        <f>IF(Tabella1[[#This Row],[Data type]]= "GEOMORPHOLOGICAL DATA", "G", "N")</f>
        <v>G</v>
      </c>
      <c r="F6" t="s">
        <v>634</v>
      </c>
      <c r="G6" s="6" t="s">
        <v>260</v>
      </c>
      <c r="H6" t="s">
        <v>523</v>
      </c>
      <c r="I6" t="s">
        <v>457</v>
      </c>
      <c r="J6" t="str">
        <f t="shared" si="0"/>
        <v>DUSAFcave_e_discarichecave</v>
      </c>
      <c r="K6">
        <f>_xlfn.XLOOKUP(Tabella1[[#This Row],[Concatenato]],'Original data'!D:D,'Original data'!E:E)</f>
        <v>645</v>
      </c>
      <c r="L6" t="s">
        <v>614</v>
      </c>
      <c r="AA6" t="s">
        <v>651</v>
      </c>
      <c r="AB6" t="s">
        <v>633</v>
      </c>
      <c r="AO6" s="9" t="s">
        <v>627</v>
      </c>
      <c r="AP6">
        <f>COUNTIF(L:L,"F3")</f>
        <v>103</v>
      </c>
      <c r="AQ6">
        <f>SUMIF(L:L, "F3", K:K)</f>
        <v>140127</v>
      </c>
    </row>
    <row r="7" spans="2:43" ht="15.6" x14ac:dyDescent="0.3">
      <c r="B7" s="5" t="s">
        <v>595</v>
      </c>
      <c r="C7" t="s">
        <v>262</v>
      </c>
      <c r="D7" t="s">
        <v>586</v>
      </c>
      <c r="E7" t="str">
        <f>IF(Tabella1[[#This Row],[Data type]]= "GEOMORPHOLOGICAL DATA", "G", "N")</f>
        <v>G</v>
      </c>
      <c r="F7" t="s">
        <v>634</v>
      </c>
      <c r="G7" s="6" t="s">
        <v>260</v>
      </c>
      <c r="H7" t="s">
        <v>523</v>
      </c>
      <c r="I7" t="s">
        <v>457</v>
      </c>
      <c r="J7" t="str">
        <f t="shared" si="0"/>
        <v>DUSAFWIZ_U32WG_VS_DUSAF4cave</v>
      </c>
      <c r="K7">
        <f>_xlfn.XLOOKUP(Tabella1[[#This Row],[Concatenato]],'Original data'!D:D,'Original data'!E:E)</f>
        <v>645</v>
      </c>
      <c r="L7" t="s">
        <v>614</v>
      </c>
      <c r="R7" s="12" t="s">
        <v>664</v>
      </c>
      <c r="S7" s="12">
        <f>(S3/(S4-S5))*100</f>
        <v>37.305699481865332</v>
      </c>
      <c r="V7" s="13" t="s">
        <v>606</v>
      </c>
      <c r="W7" s="13">
        <f>(W3/(W4-W5))*100</f>
        <v>67.808656416506167</v>
      </c>
      <c r="AA7" t="s">
        <v>652</v>
      </c>
      <c r="AB7" t="s">
        <v>639</v>
      </c>
      <c r="AO7" s="9" t="s">
        <v>626</v>
      </c>
      <c r="AP7">
        <f>COUNTIF(L:L,"F4")</f>
        <v>193</v>
      </c>
      <c r="AQ7">
        <f>SUMIF(L:L, "F4", K:K)</f>
        <v>177505</v>
      </c>
    </row>
    <row r="8" spans="2:43" ht="15.6" x14ac:dyDescent="0.3">
      <c r="B8" s="5" t="s">
        <v>8</v>
      </c>
      <c r="C8" t="s">
        <v>28</v>
      </c>
      <c r="D8" t="s">
        <v>586</v>
      </c>
      <c r="E8" t="str">
        <f>IF(Tabella1[[#This Row],[Data type]]= "GEOMORPHOLOGICAL DATA", "G", "N")</f>
        <v>G</v>
      </c>
      <c r="F8" t="s">
        <v>634</v>
      </c>
      <c r="G8" s="6" t="s">
        <v>27</v>
      </c>
      <c r="H8" t="s">
        <v>523</v>
      </c>
      <c r="I8" t="s">
        <v>457</v>
      </c>
      <c r="J8" t="str">
        <f t="shared" si="0"/>
        <v>geoambientaliFA_CTRGEO_WGScava</v>
      </c>
      <c r="K8">
        <f>_xlfn.XLOOKUP(Tabella1[[#This Row],[Concatenato]],'Original data'!D:D,'Original data'!E:E)</f>
        <v>313</v>
      </c>
      <c r="L8" t="s">
        <v>618</v>
      </c>
      <c r="AA8" t="s">
        <v>653</v>
      </c>
      <c r="AB8" t="s">
        <v>642</v>
      </c>
      <c r="AO8" s="9" t="s">
        <v>629</v>
      </c>
      <c r="AP8">
        <f>COUNTIF(L:L,"NGMF")</f>
        <v>274</v>
      </c>
      <c r="AQ8">
        <f>SUMIF(L:L, "NGMF", K:K)</f>
        <v>568151</v>
      </c>
    </row>
    <row r="9" spans="2:43" x14ac:dyDescent="0.3">
      <c r="B9" s="5" t="s">
        <v>8</v>
      </c>
      <c r="C9" t="s">
        <v>28</v>
      </c>
      <c r="D9" t="s">
        <v>586</v>
      </c>
      <c r="E9" t="str">
        <f>IF(Tabella1[[#This Row],[Data type]]= "GEOMORPHOLOGICAL DATA", "G", "N")</f>
        <v>G</v>
      </c>
      <c r="F9" t="s">
        <v>634</v>
      </c>
      <c r="G9" s="6" t="s">
        <v>24</v>
      </c>
      <c r="H9" t="s">
        <v>524</v>
      </c>
      <c r="I9" t="s">
        <v>458</v>
      </c>
      <c r="J9" t="str">
        <f t="shared" si="0"/>
        <v>geoambientaliFA_CTRGEO_WGSminiera</v>
      </c>
      <c r="K9">
        <f>_xlfn.XLOOKUP(Tabella1[[#This Row],[Concatenato]],'Original data'!D:D,'Original data'!E:E)</f>
        <v>219</v>
      </c>
      <c r="L9" t="s">
        <v>618</v>
      </c>
      <c r="AA9" t="s">
        <v>654</v>
      </c>
      <c r="AB9" t="s">
        <v>638</v>
      </c>
    </row>
    <row r="10" spans="2:43" x14ac:dyDescent="0.3">
      <c r="B10" s="5" t="s">
        <v>8</v>
      </c>
      <c r="C10" t="s">
        <v>25</v>
      </c>
      <c r="D10" t="s">
        <v>586</v>
      </c>
      <c r="E10" t="str">
        <f>IF(Tabella1[[#This Row],[Data type]]= "GEOMORPHOLOGICAL DATA", "G", "N")</f>
        <v>G</v>
      </c>
      <c r="F10" t="s">
        <v>634</v>
      </c>
      <c r="G10" s="6" t="s">
        <v>24</v>
      </c>
      <c r="H10" t="s">
        <v>524</v>
      </c>
      <c r="I10" t="s">
        <v>458</v>
      </c>
      <c r="J10" t="str">
        <f t="shared" si="0"/>
        <v>geoambientaliEP_CTRGEO_WGSminiera</v>
      </c>
      <c r="K10">
        <f>_xlfn.XLOOKUP(Tabella1[[#This Row],[Concatenato]],'Original data'!D:D,'Original data'!E:E)</f>
        <v>12</v>
      </c>
      <c r="L10" t="s">
        <v>618</v>
      </c>
      <c r="AA10" t="s">
        <v>655</v>
      </c>
      <c r="AB10" t="s">
        <v>635</v>
      </c>
    </row>
    <row r="11" spans="2:43" x14ac:dyDescent="0.3">
      <c r="B11" s="5" t="s">
        <v>8</v>
      </c>
      <c r="C11" t="s">
        <v>28</v>
      </c>
      <c r="D11" t="s">
        <v>586</v>
      </c>
      <c r="E11" t="str">
        <f>IF(Tabella1[[#This Row],[Data type]]= "GEOMORPHOLOGICAL DATA", "G", "N")</f>
        <v>G</v>
      </c>
      <c r="F11" t="s">
        <v>634</v>
      </c>
      <c r="G11" s="6" t="s">
        <v>26</v>
      </c>
      <c r="H11" t="s">
        <v>525</v>
      </c>
      <c r="I11" t="s">
        <v>456</v>
      </c>
      <c r="J11" t="str">
        <f t="shared" si="0"/>
        <v>geoambientaliFA_CTRGEO_WGSdiscarica</v>
      </c>
      <c r="K11">
        <f>_xlfn.XLOOKUP(Tabella1[[#This Row],[Concatenato]],'Original data'!D:D,'Original data'!E:E)</f>
        <v>3235</v>
      </c>
      <c r="L11" t="s">
        <v>618</v>
      </c>
      <c r="AA11" t="s">
        <v>656</v>
      </c>
      <c r="AB11" t="s">
        <v>662</v>
      </c>
    </row>
    <row r="12" spans="2:43" x14ac:dyDescent="0.3">
      <c r="B12" s="5" t="s">
        <v>595</v>
      </c>
      <c r="C12" t="s">
        <v>259</v>
      </c>
      <c r="D12" t="s">
        <v>586</v>
      </c>
      <c r="E12" t="str">
        <f>IF(Tabella1[[#This Row],[Data type]]= "GEOMORPHOLOGICAL DATA", "G", "N")</f>
        <v>G</v>
      </c>
      <c r="F12" t="s">
        <v>634</v>
      </c>
      <c r="G12" s="6" t="s">
        <v>261</v>
      </c>
      <c r="H12" t="s">
        <v>525</v>
      </c>
      <c r="I12" t="s">
        <v>456</v>
      </c>
      <c r="J12" t="str">
        <f t="shared" si="0"/>
        <v>DUSAFcave_e_discarichediscariche</v>
      </c>
      <c r="K12">
        <f>_xlfn.XLOOKUP(Tabella1[[#This Row],[Concatenato]],'Original data'!D:D,'Original data'!E:E)</f>
        <v>87</v>
      </c>
      <c r="L12" t="s">
        <v>618</v>
      </c>
      <c r="AA12" t="s">
        <v>657</v>
      </c>
      <c r="AB12" t="s">
        <v>663</v>
      </c>
    </row>
    <row r="13" spans="2:43" x14ac:dyDescent="0.3">
      <c r="B13" s="5" t="s">
        <v>595</v>
      </c>
      <c r="C13" t="s">
        <v>262</v>
      </c>
      <c r="D13" t="s">
        <v>586</v>
      </c>
      <c r="E13" t="str">
        <f>IF(Tabella1[[#This Row],[Data type]]= "GEOMORPHOLOGICAL DATA", "G", "N")</f>
        <v>G</v>
      </c>
      <c r="F13" t="s">
        <v>634</v>
      </c>
      <c r="G13" s="6" t="s">
        <v>261</v>
      </c>
      <c r="H13" t="s">
        <v>525</v>
      </c>
      <c r="I13" t="s">
        <v>456</v>
      </c>
      <c r="J13" t="str">
        <f t="shared" si="0"/>
        <v>DUSAFWIZ_U32WG_VS_DUSAF4discariche</v>
      </c>
      <c r="K13">
        <f>_xlfn.XLOOKUP(Tabella1[[#This Row],[Concatenato]],'Original data'!D:D,'Original data'!E:E)</f>
        <v>87</v>
      </c>
      <c r="L13" t="s">
        <v>618</v>
      </c>
      <c r="AA13" t="s">
        <v>658</v>
      </c>
      <c r="AB13" t="s">
        <v>637</v>
      </c>
    </row>
    <row r="14" spans="2:43" x14ac:dyDescent="0.3">
      <c r="B14" s="5" t="s">
        <v>595</v>
      </c>
      <c r="C14" t="s">
        <v>257</v>
      </c>
      <c r="D14" t="s">
        <v>586</v>
      </c>
      <c r="E14" t="str">
        <f>IF(Tabella1[[#This Row],[Data type]]= "GEOMORPHOLOGICAL DATA", "G", "N")</f>
        <v>G</v>
      </c>
      <c r="F14" t="s">
        <v>634</v>
      </c>
      <c r="G14" s="6" t="s">
        <v>255</v>
      </c>
      <c r="H14" t="s">
        <v>526</v>
      </c>
      <c r="I14" t="s">
        <v>494</v>
      </c>
      <c r="J14" t="str">
        <f t="shared" si="0"/>
        <v>DUSAFaree_fluviali_e_baciniBacini idrici artificiali</v>
      </c>
      <c r="K14">
        <f>_xlfn.XLOOKUP(Tabella1[[#This Row],[Concatenato]],'Original data'!D:D,'Original data'!E:E)</f>
        <v>1207</v>
      </c>
      <c r="L14" t="s">
        <v>618</v>
      </c>
      <c r="AA14" t="s">
        <v>659</v>
      </c>
      <c r="AB14" t="s">
        <v>634</v>
      </c>
    </row>
    <row r="15" spans="2:43" x14ac:dyDescent="0.3">
      <c r="B15" s="5" t="s">
        <v>595</v>
      </c>
      <c r="C15" t="s">
        <v>262</v>
      </c>
      <c r="D15" t="s">
        <v>586</v>
      </c>
      <c r="E15" t="str">
        <f>IF(Tabella1[[#This Row],[Data type]]= "GEOMORPHOLOGICAL DATA", "G", "N")</f>
        <v>G</v>
      </c>
      <c r="F15" t="s">
        <v>634</v>
      </c>
      <c r="G15" s="6" t="s">
        <v>255</v>
      </c>
      <c r="H15" t="s">
        <v>526</v>
      </c>
      <c r="I15" t="s">
        <v>494</v>
      </c>
      <c r="J15" t="str">
        <f t="shared" si="0"/>
        <v>DUSAFWIZ_U32WG_VS_DUSAF4Bacini idrici artificiali</v>
      </c>
      <c r="K15">
        <f>_xlfn.XLOOKUP(Tabella1[[#This Row],[Concatenato]],'Original data'!D:D,'Original data'!E:E)</f>
        <v>1207</v>
      </c>
      <c r="L15" t="s">
        <v>618</v>
      </c>
    </row>
    <row r="16" spans="2:43" x14ac:dyDescent="0.3">
      <c r="B16" s="5" t="s">
        <v>595</v>
      </c>
      <c r="C16" t="s">
        <v>262</v>
      </c>
      <c r="D16" t="s">
        <v>586</v>
      </c>
      <c r="E16" t="str">
        <f>IF(Tabella1[[#This Row],[Data type]]= "GEOMORPHOLOGICAL DATA", "G", "N")</f>
        <v>G</v>
      </c>
      <c r="F16" t="s">
        <v>634</v>
      </c>
      <c r="G16" t="s">
        <v>314</v>
      </c>
      <c r="H16" t="s">
        <v>526</v>
      </c>
      <c r="I16" t="s">
        <v>494</v>
      </c>
      <c r="J16" t="str">
        <f t="shared" si="0"/>
        <v>DUSAFWIZ_U32WG_VS_DUSAF4Bacini idrici da attivit?? estrattive interessanti la falda</v>
      </c>
      <c r="K16">
        <f>_xlfn.XLOOKUP(Tabella1[[#This Row],[Concatenato]],'Original data'!D:D,'Original data'!E:E)</f>
        <v>365</v>
      </c>
      <c r="L16" t="s">
        <v>618</v>
      </c>
    </row>
    <row r="17" spans="2:12" x14ac:dyDescent="0.3">
      <c r="B17" s="5" t="s">
        <v>595</v>
      </c>
      <c r="C17" t="s">
        <v>257</v>
      </c>
      <c r="D17" t="s">
        <v>586</v>
      </c>
      <c r="E17" t="str">
        <f>IF(Tabella1[[#This Row],[Data type]]= "GEOMORPHOLOGICAL DATA", "G", "N")</f>
        <v>G</v>
      </c>
      <c r="F17" t="s">
        <v>634</v>
      </c>
      <c r="G17" s="6" t="s">
        <v>258</v>
      </c>
      <c r="H17" t="s">
        <v>526</v>
      </c>
      <c r="I17" t="s">
        <v>494</v>
      </c>
      <c r="J17" t="str">
        <f t="shared" si="0"/>
        <v>DUSAFaree_fluviali_e_baciniBacini idrici da attività estrattive interessanti la falda</v>
      </c>
      <c r="K17">
        <f>_xlfn.XLOOKUP(Tabella1[[#This Row],[Concatenato]],'Original data'!D:D,'Original data'!E:E)</f>
        <v>365</v>
      </c>
      <c r="L17" t="s">
        <v>618</v>
      </c>
    </row>
    <row r="18" spans="2:12" x14ac:dyDescent="0.3">
      <c r="B18" t="s">
        <v>592</v>
      </c>
      <c r="C18" t="s">
        <v>426</v>
      </c>
      <c r="D18" t="s">
        <v>586</v>
      </c>
      <c r="E18" t="str">
        <f>IF(Tabella1[[#This Row],[Data type]]= "GEOMORPHOLOGICAL DATA", "G", "N")</f>
        <v>G</v>
      </c>
      <c r="F18" t="s">
        <v>634</v>
      </c>
      <c r="G18" t="s">
        <v>340</v>
      </c>
      <c r="H18" t="s">
        <v>527</v>
      </c>
      <c r="I18" t="s">
        <v>518</v>
      </c>
      <c r="J18" t="str">
        <f t="shared" si="0"/>
        <v>Opere_Difesa_SuoloODS_TOT_lineeargine</v>
      </c>
      <c r="K18">
        <f>_xlfn.XLOOKUP(Tabella1[[#This Row],[Concatenato]],'Original data'!D:D,'Original data'!E:E)</f>
        <v>3566</v>
      </c>
      <c r="L18" t="s">
        <v>618</v>
      </c>
    </row>
    <row r="19" spans="2:12" x14ac:dyDescent="0.3">
      <c r="B19" s="5" t="s">
        <v>591</v>
      </c>
      <c r="C19" t="s">
        <v>140</v>
      </c>
      <c r="D19" t="s">
        <v>586</v>
      </c>
      <c r="E19" t="str">
        <f>IF(Tabella1[[#This Row],[Data type]]= "GEOMORPHOLOGICAL DATA", "G", "N")</f>
        <v>G</v>
      </c>
      <c r="F19" t="s">
        <v>634</v>
      </c>
      <c r="G19" t="s">
        <v>141</v>
      </c>
      <c r="H19" t="s">
        <v>527</v>
      </c>
      <c r="I19" t="s">
        <v>518</v>
      </c>
      <c r="J19" t="str">
        <f t="shared" si="0"/>
        <v>basi_ambientali_pianuraWIZ_U32WG_VS_SIT_IDRO_ARGINIArgine maestro</v>
      </c>
      <c r="K19">
        <f>_xlfn.XLOOKUP(Tabella1[[#This Row],[Concatenato]],'Original data'!D:D,'Original data'!E:E)</f>
        <v>1150</v>
      </c>
      <c r="L19" t="s">
        <v>618</v>
      </c>
    </row>
    <row r="20" spans="2:12" x14ac:dyDescent="0.3">
      <c r="B20" s="5" t="s">
        <v>591</v>
      </c>
      <c r="C20" t="s">
        <v>140</v>
      </c>
      <c r="D20" t="s">
        <v>586</v>
      </c>
      <c r="E20" t="str">
        <f>IF(Tabella1[[#This Row],[Data type]]= "GEOMORPHOLOGICAL DATA", "G", "N")</f>
        <v>G</v>
      </c>
      <c r="F20" t="s">
        <v>634</v>
      </c>
      <c r="G20" t="s">
        <v>142</v>
      </c>
      <c r="H20" t="s">
        <v>527</v>
      </c>
      <c r="I20" t="s">
        <v>518</v>
      </c>
      <c r="J20" t="str">
        <f t="shared" si="0"/>
        <v>basi_ambientali_pianuraWIZ_U32WG_VS_SIT_IDRO_ARGINIArgine golenale</v>
      </c>
      <c r="K20">
        <f>_xlfn.XLOOKUP(Tabella1[[#This Row],[Concatenato]],'Original data'!D:D,'Original data'!E:E)</f>
        <v>746</v>
      </c>
      <c r="L20" t="s">
        <v>618</v>
      </c>
    </row>
    <row r="21" spans="2:12" x14ac:dyDescent="0.3">
      <c r="B21" t="s">
        <v>592</v>
      </c>
      <c r="C21" t="s">
        <v>446</v>
      </c>
      <c r="D21" t="s">
        <v>586</v>
      </c>
      <c r="E21" t="str">
        <f>IF(Tabella1[[#This Row],[Data type]]= "GEOMORPHOLOGICAL DATA", "G", "N")</f>
        <v>G</v>
      </c>
      <c r="F21" t="s">
        <v>634</v>
      </c>
      <c r="G21" s="6" t="s">
        <v>340</v>
      </c>
      <c r="H21" t="s">
        <v>527</v>
      </c>
      <c r="I21" t="s">
        <v>518</v>
      </c>
      <c r="J21" t="str">
        <f t="shared" si="0"/>
        <v>Opere_Difesa_SuoloOPERE_FIUMI_PLargine</v>
      </c>
      <c r="K21">
        <f>_xlfn.XLOOKUP(Tabella1[[#This Row],[Concatenato]],'Original data'!D:D,'Original data'!E:E)</f>
        <v>653</v>
      </c>
      <c r="L21" t="s">
        <v>618</v>
      </c>
    </row>
    <row r="22" spans="2:12" x14ac:dyDescent="0.3">
      <c r="B22" t="s">
        <v>592</v>
      </c>
      <c r="C22" t="s">
        <v>443</v>
      </c>
      <c r="D22" t="s">
        <v>586</v>
      </c>
      <c r="E22" t="str">
        <f>IF(Tabella1[[#This Row],[Data type]]= "GEOMORPHOLOGICAL DATA", "G", "N")</f>
        <v>G</v>
      </c>
      <c r="F22" t="s">
        <v>634</v>
      </c>
      <c r="G22" s="6" t="s">
        <v>340</v>
      </c>
      <c r="H22" t="s">
        <v>527</v>
      </c>
      <c r="I22" t="s">
        <v>518</v>
      </c>
      <c r="J22" t="str">
        <f t="shared" si="0"/>
        <v>Opere_Difesa_SuoloODS_TOT_puntiargine</v>
      </c>
      <c r="K22">
        <f>_xlfn.XLOOKUP(Tabella1[[#This Row],[Concatenato]],'Original data'!D:D,'Original data'!E:E)</f>
        <v>384</v>
      </c>
      <c r="L22" t="s">
        <v>618</v>
      </c>
    </row>
    <row r="23" spans="2:12" x14ac:dyDescent="0.3">
      <c r="B23" s="5" t="s">
        <v>591</v>
      </c>
      <c r="C23" t="s">
        <v>140</v>
      </c>
      <c r="D23" t="s">
        <v>586</v>
      </c>
      <c r="E23" t="str">
        <f>IF(Tabella1[[#This Row],[Data type]]= "GEOMORPHOLOGICAL DATA", "G", "N")</f>
        <v>G</v>
      </c>
      <c r="F23" t="s">
        <v>634</v>
      </c>
      <c r="G23" t="s">
        <v>143</v>
      </c>
      <c r="H23" t="s">
        <v>527</v>
      </c>
      <c r="I23" t="s">
        <v>518</v>
      </c>
      <c r="J23" t="str">
        <f t="shared" si="0"/>
        <v>basi_ambientali_pianuraWIZ_U32WG_VS_SIT_IDRO_ARGINIArgine di sponda</v>
      </c>
      <c r="K23">
        <f>_xlfn.XLOOKUP(Tabella1[[#This Row],[Concatenato]],'Original data'!D:D,'Original data'!E:E)</f>
        <v>284</v>
      </c>
      <c r="L23" t="s">
        <v>618</v>
      </c>
    </row>
    <row r="24" spans="2:12" x14ac:dyDescent="0.3">
      <c r="B24" t="s">
        <v>592</v>
      </c>
      <c r="C24" t="s">
        <v>426</v>
      </c>
      <c r="D24" t="s">
        <v>586</v>
      </c>
      <c r="E24" t="str">
        <f>IF(Tabella1[[#This Row],[Data type]]= "GEOMORPHOLOGICAL DATA", "G", "N")</f>
        <v>G</v>
      </c>
      <c r="F24" t="s">
        <v>634</v>
      </c>
      <c r="G24" t="s">
        <v>350</v>
      </c>
      <c r="H24" t="s">
        <v>527</v>
      </c>
      <c r="I24" t="s">
        <v>518</v>
      </c>
      <c r="J24" t="str">
        <f t="shared" si="0"/>
        <v>Opere_Difesa_SuoloODS_TOT_lineerisagomatura alveo</v>
      </c>
      <c r="K24">
        <f>_xlfn.XLOOKUP(Tabella1[[#This Row],[Concatenato]],'Original data'!D:D,'Original data'!E:E)</f>
        <v>923</v>
      </c>
      <c r="L24" t="s">
        <v>618</v>
      </c>
    </row>
    <row r="25" spans="2:12" x14ac:dyDescent="0.3">
      <c r="B25" t="s">
        <v>592</v>
      </c>
      <c r="C25" t="s">
        <v>425</v>
      </c>
      <c r="D25" t="s">
        <v>586</v>
      </c>
      <c r="E25" t="str">
        <f>IF(Tabella1[[#This Row],[Data type]]= "GEOMORPHOLOGICAL DATA", "G", "N")</f>
        <v>G</v>
      </c>
      <c r="F25" t="s">
        <v>634</v>
      </c>
      <c r="G25" t="s">
        <v>350</v>
      </c>
      <c r="H25" t="s">
        <v>527</v>
      </c>
      <c r="I25" t="s">
        <v>518</v>
      </c>
      <c r="J25" t="str">
        <f t="shared" si="0"/>
        <v>Opere_Difesa_SuoloODS_TOT_areerisagomatura alveo</v>
      </c>
      <c r="K25">
        <f>_xlfn.XLOOKUP(Tabella1[[#This Row],[Concatenato]],'Original data'!D:D,'Original data'!E:E)</f>
        <v>145</v>
      </c>
      <c r="L25" t="s">
        <v>618</v>
      </c>
    </row>
    <row r="26" spans="2:12" x14ac:dyDescent="0.3">
      <c r="B26" t="s">
        <v>592</v>
      </c>
      <c r="C26" t="s">
        <v>443</v>
      </c>
      <c r="D26" t="s">
        <v>586</v>
      </c>
      <c r="E26" t="str">
        <f>IF(Tabella1[[#This Row],[Data type]]= "GEOMORPHOLOGICAL DATA", "G", "N")</f>
        <v>G</v>
      </c>
      <c r="F26" t="s">
        <v>634</v>
      </c>
      <c r="G26" t="s">
        <v>350</v>
      </c>
      <c r="H26" t="s">
        <v>527</v>
      </c>
      <c r="I26" t="s">
        <v>518</v>
      </c>
      <c r="J26" t="str">
        <f t="shared" si="0"/>
        <v>Opere_Difesa_SuoloODS_TOT_puntirisagomatura alveo</v>
      </c>
      <c r="K26">
        <f>_xlfn.XLOOKUP(Tabella1[[#This Row],[Concatenato]],'Original data'!D:D,'Original data'!E:E)</f>
        <v>32</v>
      </c>
      <c r="L26" t="s">
        <v>618</v>
      </c>
    </row>
    <row r="27" spans="2:12" x14ac:dyDescent="0.3">
      <c r="B27" t="s">
        <v>592</v>
      </c>
      <c r="C27" t="s">
        <v>446</v>
      </c>
      <c r="D27" t="s">
        <v>586</v>
      </c>
      <c r="E27" t="str">
        <f>IF(Tabella1[[#This Row],[Data type]]= "GEOMORPHOLOGICAL DATA", "G", "N")</f>
        <v>G</v>
      </c>
      <c r="F27" t="s">
        <v>634</v>
      </c>
      <c r="G27" t="s">
        <v>350</v>
      </c>
      <c r="H27" t="s">
        <v>527</v>
      </c>
      <c r="I27" t="s">
        <v>518</v>
      </c>
      <c r="J27" t="str">
        <f t="shared" si="0"/>
        <v>Opere_Difesa_SuoloOPERE_FIUMI_PLrisagomatura alveo</v>
      </c>
      <c r="K27">
        <f>_xlfn.XLOOKUP(Tabella1[[#This Row],[Concatenato]],'Original data'!D:D,'Original data'!E:E)</f>
        <v>3</v>
      </c>
      <c r="L27" t="s">
        <v>618</v>
      </c>
    </row>
    <row r="28" spans="2:12" x14ac:dyDescent="0.3">
      <c r="B28" t="s">
        <v>592</v>
      </c>
      <c r="C28" t="s">
        <v>426</v>
      </c>
      <c r="D28" t="s">
        <v>586</v>
      </c>
      <c r="E28" t="str">
        <f>IF(Tabella1[[#This Row],[Data type]]= "GEOMORPHOLOGICAL DATA", "G", "N")</f>
        <v>G</v>
      </c>
      <c r="F28" t="s">
        <v>634</v>
      </c>
      <c r="G28" s="6" t="s">
        <v>410</v>
      </c>
      <c r="H28" t="s">
        <v>527</v>
      </c>
      <c r="I28" t="s">
        <v>518</v>
      </c>
      <c r="J28" t="str">
        <f t="shared" si="0"/>
        <v>Opere_Difesa_SuoloODS_TOT_lineemuro/argine</v>
      </c>
      <c r="K28">
        <f>_xlfn.XLOOKUP(Tabella1[[#This Row],[Concatenato]],'Original data'!D:D,'Original data'!E:E)</f>
        <v>42</v>
      </c>
      <c r="L28" t="s">
        <v>618</v>
      </c>
    </row>
    <row r="29" spans="2:12" x14ac:dyDescent="0.3">
      <c r="B29" t="s">
        <v>592</v>
      </c>
      <c r="C29" t="s">
        <v>425</v>
      </c>
      <c r="D29" t="s">
        <v>586</v>
      </c>
      <c r="E29" t="str">
        <f>IF(Tabella1[[#This Row],[Data type]]= "GEOMORPHOLOGICAL DATA", "G", "N")</f>
        <v>G</v>
      </c>
      <c r="F29" t="s">
        <v>634</v>
      </c>
      <c r="G29" s="6" t="s">
        <v>340</v>
      </c>
      <c r="H29" t="s">
        <v>527</v>
      </c>
      <c r="I29" t="s">
        <v>518</v>
      </c>
      <c r="J29" t="str">
        <f t="shared" si="0"/>
        <v>Opere_Difesa_SuoloODS_TOT_areeargine</v>
      </c>
      <c r="K29">
        <f>_xlfn.XLOOKUP(Tabella1[[#This Row],[Concatenato]],'Original data'!D:D,'Original data'!E:E)</f>
        <v>28</v>
      </c>
      <c r="L29" t="s">
        <v>618</v>
      </c>
    </row>
    <row r="30" spans="2:12" x14ac:dyDescent="0.3">
      <c r="B30" t="s">
        <v>592</v>
      </c>
      <c r="C30" t="s">
        <v>425</v>
      </c>
      <c r="D30" t="s">
        <v>586</v>
      </c>
      <c r="E30" t="str">
        <f>IF(Tabella1[[#This Row],[Data type]]= "GEOMORPHOLOGICAL DATA", "G", "N")</f>
        <v>G</v>
      </c>
      <c r="F30" t="s">
        <v>634</v>
      </c>
      <c r="G30" s="6" t="s">
        <v>410</v>
      </c>
      <c r="H30" t="s">
        <v>527</v>
      </c>
      <c r="I30" t="s">
        <v>518</v>
      </c>
      <c r="J30" t="str">
        <f t="shared" si="0"/>
        <v>Opere_Difesa_SuoloODS_TOT_areemuro/argine</v>
      </c>
      <c r="K30">
        <f>_xlfn.XLOOKUP(Tabella1[[#This Row],[Concatenato]],'Original data'!D:D,'Original data'!E:E)</f>
        <v>16</v>
      </c>
      <c r="L30" t="s">
        <v>618</v>
      </c>
    </row>
    <row r="31" spans="2:12" x14ac:dyDescent="0.3">
      <c r="B31" t="s">
        <v>592</v>
      </c>
      <c r="C31" t="s">
        <v>426</v>
      </c>
      <c r="D31" t="s">
        <v>586</v>
      </c>
      <c r="E31" t="str">
        <f>IF(Tabella1[[#This Row],[Data type]]= "GEOMORPHOLOGICAL DATA", "G", "N")</f>
        <v>G</v>
      </c>
      <c r="F31" t="s">
        <v>634</v>
      </c>
      <c r="G31" t="s">
        <v>364</v>
      </c>
      <c r="H31" t="s">
        <v>576</v>
      </c>
      <c r="I31" t="s">
        <v>577</v>
      </c>
      <c r="J31" t="str">
        <f t="shared" si="0"/>
        <v>Opere_Difesa_SuoloODS_TOT_lineetombinatura</v>
      </c>
      <c r="K31">
        <f>_xlfn.XLOOKUP(Tabella1[[#This Row],[Concatenato]],'Original data'!D:D,'Original data'!E:E)</f>
        <v>385</v>
      </c>
      <c r="L31" t="s">
        <v>618</v>
      </c>
    </row>
    <row r="32" spans="2:12" x14ac:dyDescent="0.3">
      <c r="B32" t="s">
        <v>592</v>
      </c>
      <c r="C32" t="s">
        <v>443</v>
      </c>
      <c r="D32" t="s">
        <v>586</v>
      </c>
      <c r="E32" t="str">
        <f>IF(Tabella1[[#This Row],[Data type]]= "GEOMORPHOLOGICAL DATA", "G", "N")</f>
        <v>G</v>
      </c>
      <c r="F32" t="s">
        <v>634</v>
      </c>
      <c r="G32" t="s">
        <v>364</v>
      </c>
      <c r="H32" t="s">
        <v>576</v>
      </c>
      <c r="I32" t="s">
        <v>577</v>
      </c>
      <c r="J32" t="str">
        <f t="shared" si="0"/>
        <v>Opere_Difesa_SuoloODS_TOT_puntitombinatura</v>
      </c>
      <c r="K32">
        <f>_xlfn.XLOOKUP(Tabella1[[#This Row],[Concatenato]],'Original data'!D:D,'Original data'!E:E)</f>
        <v>306</v>
      </c>
      <c r="L32" t="s">
        <v>618</v>
      </c>
    </row>
    <row r="33" spans="2:12" x14ac:dyDescent="0.3">
      <c r="B33" t="s">
        <v>592</v>
      </c>
      <c r="C33" t="s">
        <v>446</v>
      </c>
      <c r="D33" t="s">
        <v>586</v>
      </c>
      <c r="E33" t="str">
        <f>IF(Tabella1[[#This Row],[Data type]]= "GEOMORPHOLOGICAL DATA", "G", "N")</f>
        <v>G</v>
      </c>
      <c r="F33" t="s">
        <v>634</v>
      </c>
      <c r="G33" t="s">
        <v>364</v>
      </c>
      <c r="H33" t="s">
        <v>576</v>
      </c>
      <c r="I33" t="s">
        <v>577</v>
      </c>
      <c r="J33" t="str">
        <f t="shared" si="0"/>
        <v>Opere_Difesa_SuoloOPERE_FIUMI_PLtombinatura</v>
      </c>
      <c r="K33">
        <f>_xlfn.XLOOKUP(Tabella1[[#This Row],[Concatenato]],'Original data'!D:D,'Original data'!E:E)</f>
        <v>92</v>
      </c>
      <c r="L33" t="s">
        <v>618</v>
      </c>
    </row>
    <row r="34" spans="2:12" x14ac:dyDescent="0.3">
      <c r="B34" t="s">
        <v>592</v>
      </c>
      <c r="C34" t="s">
        <v>425</v>
      </c>
      <c r="D34" t="s">
        <v>586</v>
      </c>
      <c r="E34" t="str">
        <f>IF(Tabella1[[#This Row],[Data type]]= "GEOMORPHOLOGICAL DATA", "G", "N")</f>
        <v>G</v>
      </c>
      <c r="F34" t="s">
        <v>634</v>
      </c>
      <c r="G34" t="s">
        <v>364</v>
      </c>
      <c r="H34" t="s">
        <v>576</v>
      </c>
      <c r="I34" t="s">
        <v>577</v>
      </c>
      <c r="J34" t="str">
        <f t="shared" si="0"/>
        <v>Opere_Difesa_SuoloODS_TOT_areetombinatura</v>
      </c>
      <c r="K34">
        <f>_xlfn.XLOOKUP(Tabella1[[#This Row],[Concatenato]],'Original data'!D:D,'Original data'!E:E)</f>
        <v>5</v>
      </c>
      <c r="L34" t="s">
        <v>618</v>
      </c>
    </row>
    <row r="35" spans="2:12" ht="14.4" customHeight="1" x14ac:dyDescent="0.3">
      <c r="B35" s="5" t="s">
        <v>595</v>
      </c>
      <c r="C35" t="s">
        <v>257</v>
      </c>
      <c r="D35" t="s">
        <v>586</v>
      </c>
      <c r="E35" t="str">
        <f>IF(Tabella1[[#This Row],[Data type]]= "GEOMORPHOLOGICAL DATA", "G", "N")</f>
        <v>G</v>
      </c>
      <c r="F35" t="s">
        <v>634</v>
      </c>
      <c r="G35" s="6" t="s">
        <v>256</v>
      </c>
      <c r="H35" t="s">
        <v>528</v>
      </c>
      <c r="I35" t="s">
        <v>519</v>
      </c>
      <c r="J35" t="str">
        <f t="shared" si="0"/>
        <v>DUSAFaree_fluviali_e_baciniAlvei fluviali e corsi d'acqua artificiali</v>
      </c>
      <c r="K35">
        <f>_xlfn.XLOOKUP(Tabella1[[#This Row],[Concatenato]],'Original data'!D:D,'Original data'!E:E)</f>
        <v>626</v>
      </c>
      <c r="L35" t="s">
        <v>618</v>
      </c>
    </row>
    <row r="36" spans="2:12" x14ac:dyDescent="0.3">
      <c r="B36" s="5" t="s">
        <v>595</v>
      </c>
      <c r="C36" t="s">
        <v>262</v>
      </c>
      <c r="D36" t="s">
        <v>586</v>
      </c>
      <c r="E36" t="str">
        <f>IF(Tabella1[[#This Row],[Data type]]= "GEOMORPHOLOGICAL DATA", "G", "N")</f>
        <v>G</v>
      </c>
      <c r="F36" t="s">
        <v>634</v>
      </c>
      <c r="G36" s="6" t="s">
        <v>256</v>
      </c>
      <c r="H36" t="s">
        <v>528</v>
      </c>
      <c r="I36" t="s">
        <v>519</v>
      </c>
      <c r="J36" t="str">
        <f t="shared" si="0"/>
        <v>DUSAFWIZ_U32WG_VS_DUSAF4Alvei fluviali e corsi d'acqua artificiali</v>
      </c>
      <c r="K36">
        <f>_xlfn.XLOOKUP(Tabella1[[#This Row],[Concatenato]],'Original data'!D:D,'Original data'!E:E)</f>
        <v>626</v>
      </c>
      <c r="L36" t="s">
        <v>618</v>
      </c>
    </row>
    <row r="37" spans="2:12" x14ac:dyDescent="0.3">
      <c r="B37" t="s">
        <v>592</v>
      </c>
      <c r="C37" t="s">
        <v>426</v>
      </c>
      <c r="D37" t="s">
        <v>586</v>
      </c>
      <c r="E37" t="str">
        <f>IF(Tabella1[[#This Row],[Data type]]= "GEOMORPHOLOGICAL DATA", "G", "N")</f>
        <v>G</v>
      </c>
      <c r="F37" t="s">
        <v>634</v>
      </c>
      <c r="G37" t="s">
        <v>341</v>
      </c>
      <c r="H37" t="s">
        <v>528</v>
      </c>
      <c r="I37" t="s">
        <v>519</v>
      </c>
      <c r="J37" t="str">
        <f t="shared" si="0"/>
        <v>Opere_Difesa_SuoloODS_TOT_lineecanale artificiale</v>
      </c>
      <c r="K37">
        <f>_xlfn.XLOOKUP(Tabella1[[#This Row],[Concatenato]],'Original data'!D:D,'Original data'!E:E)</f>
        <v>718</v>
      </c>
      <c r="L37" t="s">
        <v>614</v>
      </c>
    </row>
    <row r="38" spans="2:12" x14ac:dyDescent="0.3">
      <c r="B38" t="s">
        <v>592</v>
      </c>
      <c r="C38" t="s">
        <v>443</v>
      </c>
      <c r="D38" t="s">
        <v>586</v>
      </c>
      <c r="E38" t="str">
        <f>IF(Tabella1[[#This Row],[Data type]]= "GEOMORPHOLOGICAL DATA", "G", "N")</f>
        <v>G</v>
      </c>
      <c r="F38" t="s">
        <v>634</v>
      </c>
      <c r="G38" s="6" t="s">
        <v>341</v>
      </c>
      <c r="H38" t="s">
        <v>528</v>
      </c>
      <c r="I38" t="s">
        <v>519</v>
      </c>
      <c r="J38" t="str">
        <f t="shared" si="0"/>
        <v>Opere_Difesa_SuoloODS_TOT_punticanale artificiale</v>
      </c>
      <c r="K38">
        <f>_xlfn.XLOOKUP(Tabella1[[#This Row],[Concatenato]],'Original data'!D:D,'Original data'!E:E)</f>
        <v>62</v>
      </c>
      <c r="L38" t="s">
        <v>614</v>
      </c>
    </row>
    <row r="39" spans="2:12" x14ac:dyDescent="0.3">
      <c r="B39" t="s">
        <v>592</v>
      </c>
      <c r="C39" t="s">
        <v>425</v>
      </c>
      <c r="D39" t="s">
        <v>586</v>
      </c>
      <c r="E39" t="str">
        <f>IF(Tabella1[[#This Row],[Data type]]= "GEOMORPHOLOGICAL DATA", "G", "N")</f>
        <v>G</v>
      </c>
      <c r="F39" t="s">
        <v>634</v>
      </c>
      <c r="G39" s="6" t="s">
        <v>341</v>
      </c>
      <c r="H39" t="s">
        <v>528</v>
      </c>
      <c r="I39" t="s">
        <v>519</v>
      </c>
      <c r="J39" t="str">
        <f t="shared" si="0"/>
        <v>Opere_Difesa_SuoloODS_TOT_areecanale artificiale</v>
      </c>
      <c r="K39">
        <f>_xlfn.XLOOKUP(Tabella1[[#This Row],[Concatenato]],'Original data'!D:D,'Original data'!E:E)</f>
        <v>57</v>
      </c>
      <c r="L39" t="s">
        <v>614</v>
      </c>
    </row>
    <row r="40" spans="2:12" x14ac:dyDescent="0.3">
      <c r="B40" t="s">
        <v>592</v>
      </c>
      <c r="C40" t="s">
        <v>426</v>
      </c>
      <c r="D40" t="s">
        <v>586</v>
      </c>
      <c r="E40" t="str">
        <f>IF(Tabella1[[#This Row],[Data type]]= "GEOMORPHOLOGICAL DATA", "G", "N")</f>
        <v>G</v>
      </c>
      <c r="F40" t="s">
        <v>634</v>
      </c>
      <c r="G40" t="s">
        <v>378</v>
      </c>
      <c r="H40" t="s">
        <v>528</v>
      </c>
      <c r="I40" t="s">
        <v>519</v>
      </c>
      <c r="J40" t="str">
        <f t="shared" si="0"/>
        <v>Opere_Difesa_SuoloODS_TOT_lineecanaletta</v>
      </c>
      <c r="K40">
        <f>_xlfn.XLOOKUP(Tabella1[[#This Row],[Concatenato]],'Original data'!D:D,'Original data'!E:E)</f>
        <v>1261</v>
      </c>
      <c r="L40" t="s">
        <v>618</v>
      </c>
    </row>
    <row r="41" spans="2:12" x14ac:dyDescent="0.3">
      <c r="B41" t="s">
        <v>592</v>
      </c>
      <c r="C41" t="s">
        <v>443</v>
      </c>
      <c r="D41" t="s">
        <v>586</v>
      </c>
      <c r="E41" t="str">
        <f>IF(Tabella1[[#This Row],[Data type]]= "GEOMORPHOLOGICAL DATA", "G", "N")</f>
        <v>G</v>
      </c>
      <c r="F41" t="s">
        <v>634</v>
      </c>
      <c r="G41" s="6" t="s">
        <v>378</v>
      </c>
      <c r="H41" t="s">
        <v>528</v>
      </c>
      <c r="I41" t="s">
        <v>519</v>
      </c>
      <c r="J41" t="str">
        <f t="shared" si="0"/>
        <v>Opere_Difesa_SuoloODS_TOT_punticanaletta</v>
      </c>
      <c r="K41">
        <f>_xlfn.XLOOKUP(Tabella1[[#This Row],[Concatenato]],'Original data'!D:D,'Original data'!E:E)</f>
        <v>801</v>
      </c>
      <c r="L41" t="s">
        <v>618</v>
      </c>
    </row>
    <row r="42" spans="2:12" x14ac:dyDescent="0.3">
      <c r="B42" t="s">
        <v>592</v>
      </c>
      <c r="C42" t="s">
        <v>425</v>
      </c>
      <c r="D42" t="s">
        <v>586</v>
      </c>
      <c r="E42" t="str">
        <f>IF(Tabella1[[#This Row],[Data type]]= "GEOMORPHOLOGICAL DATA", "G", "N")</f>
        <v>G</v>
      </c>
      <c r="F42" t="s">
        <v>634</v>
      </c>
      <c r="G42" s="6" t="s">
        <v>378</v>
      </c>
      <c r="H42" t="s">
        <v>528</v>
      </c>
      <c r="I42" t="s">
        <v>519</v>
      </c>
      <c r="J42" t="str">
        <f t="shared" si="0"/>
        <v>Opere_Difesa_SuoloODS_TOT_areecanaletta</v>
      </c>
      <c r="K42">
        <f>_xlfn.XLOOKUP(Tabella1[[#This Row],[Concatenato]],'Original data'!D:D,'Original data'!E:E)</f>
        <v>36</v>
      </c>
      <c r="L42" t="s">
        <v>618</v>
      </c>
    </row>
    <row r="43" spans="2:12" x14ac:dyDescent="0.3">
      <c r="B43" t="s">
        <v>592</v>
      </c>
      <c r="C43" t="s">
        <v>443</v>
      </c>
      <c r="D43" t="s">
        <v>586</v>
      </c>
      <c r="E43" t="str">
        <f>IF(Tabella1[[#This Row],[Data type]]= "GEOMORPHOLOGICAL DATA", "G", "N")</f>
        <v>G</v>
      </c>
      <c r="F43" t="s">
        <v>634</v>
      </c>
      <c r="G43" t="s">
        <v>367</v>
      </c>
      <c r="H43" t="s">
        <v>528</v>
      </c>
      <c r="I43" t="s">
        <v>519</v>
      </c>
      <c r="J43" t="str">
        <f t="shared" si="0"/>
        <v>Opere_Difesa_SuoloODS_TOT_punticunettone</v>
      </c>
      <c r="K43">
        <f>_xlfn.XLOOKUP(Tabella1[[#This Row],[Concatenato]],'Original data'!D:D,'Original data'!E:E)</f>
        <v>195</v>
      </c>
      <c r="L43" t="s">
        <v>618</v>
      </c>
    </row>
    <row r="44" spans="2:12" x14ac:dyDescent="0.3">
      <c r="B44" t="s">
        <v>592</v>
      </c>
      <c r="C44" t="s">
        <v>426</v>
      </c>
      <c r="D44" t="s">
        <v>586</v>
      </c>
      <c r="E44" t="str">
        <f>IF(Tabella1[[#This Row],[Data type]]= "GEOMORPHOLOGICAL DATA", "G", "N")</f>
        <v>G</v>
      </c>
      <c r="F44" t="s">
        <v>634</v>
      </c>
      <c r="G44" t="s">
        <v>367</v>
      </c>
      <c r="H44" t="s">
        <v>528</v>
      </c>
      <c r="I44" t="s">
        <v>519</v>
      </c>
      <c r="J44" t="str">
        <f t="shared" si="0"/>
        <v>Opere_Difesa_SuoloODS_TOT_lineecunettone</v>
      </c>
      <c r="K44">
        <f>_xlfn.XLOOKUP(Tabella1[[#This Row],[Concatenato]],'Original data'!D:D,'Original data'!E:E)</f>
        <v>178</v>
      </c>
      <c r="L44" t="s">
        <v>618</v>
      </c>
    </row>
    <row r="45" spans="2:12" x14ac:dyDescent="0.3">
      <c r="B45" t="s">
        <v>592</v>
      </c>
      <c r="C45" t="s">
        <v>425</v>
      </c>
      <c r="D45" t="s">
        <v>586</v>
      </c>
      <c r="E45" t="str">
        <f>IF(Tabella1[[#This Row],[Data type]]= "GEOMORPHOLOGICAL DATA", "G", "N")</f>
        <v>G</v>
      </c>
      <c r="F45" t="s">
        <v>634</v>
      </c>
      <c r="G45" t="s">
        <v>367</v>
      </c>
      <c r="H45" t="s">
        <v>528</v>
      </c>
      <c r="I45" t="s">
        <v>519</v>
      </c>
      <c r="J45" t="str">
        <f t="shared" si="0"/>
        <v>Opere_Difesa_SuoloODS_TOT_areecunettone</v>
      </c>
      <c r="K45">
        <f>_xlfn.XLOOKUP(Tabella1[[#This Row],[Concatenato]],'Original data'!D:D,'Original data'!E:E)</f>
        <v>40</v>
      </c>
      <c r="L45" t="s">
        <v>618</v>
      </c>
    </row>
    <row r="46" spans="2:12" x14ac:dyDescent="0.3">
      <c r="B46" t="s">
        <v>592</v>
      </c>
      <c r="C46" t="s">
        <v>446</v>
      </c>
      <c r="D46" t="s">
        <v>586</v>
      </c>
      <c r="E46" t="str">
        <f>IF(Tabella1[[#This Row],[Data type]]= "GEOMORPHOLOGICAL DATA", "G", "N")</f>
        <v>G</v>
      </c>
      <c r="F46" t="s">
        <v>634</v>
      </c>
      <c r="G46" s="6" t="s">
        <v>341</v>
      </c>
      <c r="H46" t="s">
        <v>528</v>
      </c>
      <c r="I46" t="s">
        <v>519</v>
      </c>
      <c r="J46" t="str">
        <f t="shared" si="0"/>
        <v>Opere_Difesa_SuoloOPERE_FIUMI_PLcanale artificiale</v>
      </c>
      <c r="K46">
        <f>_xlfn.XLOOKUP(Tabella1[[#This Row],[Concatenato]],'Original data'!D:D,'Original data'!E:E)</f>
        <v>12</v>
      </c>
      <c r="L46" t="s">
        <v>618</v>
      </c>
    </row>
    <row r="47" spans="2:12" x14ac:dyDescent="0.3">
      <c r="B47" t="s">
        <v>592</v>
      </c>
      <c r="C47" t="s">
        <v>426</v>
      </c>
      <c r="D47" t="s">
        <v>586</v>
      </c>
      <c r="E47" t="str">
        <f>IF(Tabella1[[#This Row],[Data type]]= "GEOMORPHOLOGICAL DATA", "G", "N")</f>
        <v>G</v>
      </c>
      <c r="F47" t="s">
        <v>634</v>
      </c>
      <c r="G47" t="s">
        <v>336</v>
      </c>
      <c r="H47" t="s">
        <v>529</v>
      </c>
      <c r="I47" t="s">
        <v>517</v>
      </c>
      <c r="J47" t="str">
        <f t="shared" si="0"/>
        <v>Opere_Difesa_SuoloODS_TOT_lineebriglia di trattenuta</v>
      </c>
      <c r="K47">
        <f>_xlfn.XLOOKUP(Tabella1[[#This Row],[Concatenato]],'Original data'!D:D,'Original data'!E:E)</f>
        <v>2498</v>
      </c>
      <c r="L47" t="s">
        <v>618</v>
      </c>
    </row>
    <row r="48" spans="2:12" x14ac:dyDescent="0.3">
      <c r="B48" t="s">
        <v>592</v>
      </c>
      <c r="C48" t="s">
        <v>443</v>
      </c>
      <c r="D48" t="s">
        <v>586</v>
      </c>
      <c r="E48" t="str">
        <f>IF(Tabella1[[#This Row],[Data type]]= "GEOMORPHOLOGICAL DATA", "G", "N")</f>
        <v>G</v>
      </c>
      <c r="F48" t="s">
        <v>634</v>
      </c>
      <c r="G48" s="6" t="s">
        <v>336</v>
      </c>
      <c r="H48" t="s">
        <v>529</v>
      </c>
      <c r="I48" t="s">
        <v>517</v>
      </c>
      <c r="J48" t="str">
        <f t="shared" si="0"/>
        <v>Opere_Difesa_SuoloODS_TOT_puntibriglia di trattenuta</v>
      </c>
      <c r="K48">
        <f>_xlfn.XLOOKUP(Tabella1[[#This Row],[Concatenato]],'Original data'!D:D,'Original data'!E:E)</f>
        <v>1790</v>
      </c>
      <c r="L48" t="s">
        <v>618</v>
      </c>
    </row>
    <row r="49" spans="2:12" x14ac:dyDescent="0.3">
      <c r="B49" t="s">
        <v>592</v>
      </c>
      <c r="C49" t="s">
        <v>426</v>
      </c>
      <c r="D49" t="s">
        <v>586</v>
      </c>
      <c r="E49" t="str">
        <f>IF(Tabella1[[#This Row],[Data type]]= "GEOMORPHOLOGICAL DATA", "G", "N")</f>
        <v>G</v>
      </c>
      <c r="F49" t="s">
        <v>634</v>
      </c>
      <c r="G49" t="s">
        <v>394</v>
      </c>
      <c r="H49" t="s">
        <v>529</v>
      </c>
      <c r="I49" t="s">
        <v>517</v>
      </c>
      <c r="J49" t="str">
        <f t="shared" si="0"/>
        <v>Opere_Difesa_SuoloODS_TOT_lineebriglia</v>
      </c>
      <c r="K49">
        <f>_xlfn.XLOOKUP(Tabella1[[#This Row],[Concatenato]],'Original data'!D:D,'Original data'!E:E)</f>
        <v>1723</v>
      </c>
      <c r="L49" t="s">
        <v>614</v>
      </c>
    </row>
    <row r="50" spans="2:12" x14ac:dyDescent="0.3">
      <c r="B50" t="s">
        <v>592</v>
      </c>
      <c r="C50" t="s">
        <v>443</v>
      </c>
      <c r="D50" t="s">
        <v>586</v>
      </c>
      <c r="E50" t="str">
        <f>IF(Tabella1[[#This Row],[Data type]]= "GEOMORPHOLOGICAL DATA", "G", "N")</f>
        <v>G</v>
      </c>
      <c r="F50" t="s">
        <v>634</v>
      </c>
      <c r="G50" s="6" t="s">
        <v>394</v>
      </c>
      <c r="H50" t="s">
        <v>529</v>
      </c>
      <c r="I50" t="s">
        <v>517</v>
      </c>
      <c r="J50" t="str">
        <f t="shared" si="0"/>
        <v>Opere_Difesa_SuoloODS_TOT_puntibriglia</v>
      </c>
      <c r="K50">
        <f>_xlfn.XLOOKUP(Tabella1[[#This Row],[Concatenato]],'Original data'!D:D,'Original data'!E:E)</f>
        <v>845</v>
      </c>
      <c r="L50" t="s">
        <v>614</v>
      </c>
    </row>
    <row r="51" spans="2:12" x14ac:dyDescent="0.3">
      <c r="B51" t="s">
        <v>592</v>
      </c>
      <c r="C51" t="s">
        <v>426</v>
      </c>
      <c r="D51" t="s">
        <v>586</v>
      </c>
      <c r="E51" t="str">
        <f>IF(Tabella1[[#This Row],[Data type]]= "GEOMORPHOLOGICAL DATA", "G", "N")</f>
        <v>G</v>
      </c>
      <c r="F51" t="s">
        <v>634</v>
      </c>
      <c r="G51" t="s">
        <v>342</v>
      </c>
      <c r="H51" t="s">
        <v>529</v>
      </c>
      <c r="I51" t="s">
        <v>517</v>
      </c>
      <c r="J51" t="str">
        <f t="shared" si="0"/>
        <v>Opere_Difesa_SuoloODS_TOT_lineebriglia filtrante</v>
      </c>
      <c r="K51">
        <f>_xlfn.XLOOKUP(Tabella1[[#This Row],[Concatenato]],'Original data'!D:D,'Original data'!E:E)</f>
        <v>214</v>
      </c>
      <c r="L51" t="s">
        <v>618</v>
      </c>
    </row>
    <row r="52" spans="2:12" x14ac:dyDescent="0.3">
      <c r="B52" t="s">
        <v>592</v>
      </c>
      <c r="C52" t="s">
        <v>443</v>
      </c>
      <c r="D52" t="s">
        <v>586</v>
      </c>
      <c r="E52" t="str">
        <f>IF(Tabella1[[#This Row],[Data type]]= "GEOMORPHOLOGICAL DATA", "G", "N")</f>
        <v>G</v>
      </c>
      <c r="F52" t="s">
        <v>634</v>
      </c>
      <c r="G52" s="6" t="s">
        <v>342</v>
      </c>
      <c r="H52" t="s">
        <v>529</v>
      </c>
      <c r="I52" t="s">
        <v>517</v>
      </c>
      <c r="J52" t="str">
        <f t="shared" si="0"/>
        <v>Opere_Difesa_SuoloODS_TOT_puntibriglia filtrante</v>
      </c>
      <c r="K52">
        <f>_xlfn.XLOOKUP(Tabella1[[#This Row],[Concatenato]],'Original data'!D:D,'Original data'!E:E)</f>
        <v>115</v>
      </c>
      <c r="L52" t="s">
        <v>618</v>
      </c>
    </row>
    <row r="53" spans="2:12" x14ac:dyDescent="0.3">
      <c r="B53" t="s">
        <v>592</v>
      </c>
      <c r="C53" t="s">
        <v>426</v>
      </c>
      <c r="D53" t="s">
        <v>586</v>
      </c>
      <c r="E53" t="str">
        <f>IF(Tabella1[[#This Row],[Data type]]= "GEOMORPHOLOGICAL DATA", "G", "N")</f>
        <v>G</v>
      </c>
      <c r="F53" t="s">
        <v>634</v>
      </c>
      <c r="G53" s="6" t="s">
        <v>358</v>
      </c>
      <c r="H53" t="s">
        <v>529</v>
      </c>
      <c r="I53" t="s">
        <v>517</v>
      </c>
      <c r="J53" t="str">
        <f t="shared" si="0"/>
        <v>Opere_Difesa_SuoloODS_TOT_lineediga</v>
      </c>
      <c r="K53">
        <f>_xlfn.XLOOKUP(Tabella1[[#This Row],[Concatenato]],'Original data'!D:D,'Original data'!E:E)</f>
        <v>19</v>
      </c>
      <c r="L53" t="s">
        <v>614</v>
      </c>
    </row>
    <row r="54" spans="2:12" x14ac:dyDescent="0.3">
      <c r="B54" t="s">
        <v>592</v>
      </c>
      <c r="C54" t="s">
        <v>425</v>
      </c>
      <c r="D54" t="s">
        <v>586</v>
      </c>
      <c r="E54" t="str">
        <f>IF(Tabella1[[#This Row],[Data type]]= "GEOMORPHOLOGICAL DATA", "G", "N")</f>
        <v>G</v>
      </c>
      <c r="F54" t="s">
        <v>634</v>
      </c>
      <c r="G54" s="6" t="s">
        <v>336</v>
      </c>
      <c r="H54" t="s">
        <v>529</v>
      </c>
      <c r="I54" t="s">
        <v>517</v>
      </c>
      <c r="J54" t="str">
        <f t="shared" si="0"/>
        <v>Opere_Difesa_SuoloODS_TOT_areebriglia di trattenuta</v>
      </c>
      <c r="K54">
        <f>_xlfn.XLOOKUP(Tabella1[[#This Row],[Concatenato]],'Original data'!D:D,'Original data'!E:E)</f>
        <v>18</v>
      </c>
      <c r="L54" t="s">
        <v>618</v>
      </c>
    </row>
    <row r="55" spans="2:12" x14ac:dyDescent="0.3">
      <c r="B55" t="s">
        <v>592</v>
      </c>
      <c r="C55" t="s">
        <v>425</v>
      </c>
      <c r="D55" t="s">
        <v>586</v>
      </c>
      <c r="E55" t="str">
        <f>IF(Tabella1[[#This Row],[Data type]]= "GEOMORPHOLOGICAL DATA", "G", "N")</f>
        <v>G</v>
      </c>
      <c r="F55" t="s">
        <v>634</v>
      </c>
      <c r="G55" s="6" t="s">
        <v>394</v>
      </c>
      <c r="H55" t="s">
        <v>529</v>
      </c>
      <c r="I55" t="s">
        <v>517</v>
      </c>
      <c r="J55" t="str">
        <f t="shared" si="0"/>
        <v>Opere_Difesa_SuoloODS_TOT_areebriglia</v>
      </c>
      <c r="K55">
        <f>_xlfn.XLOOKUP(Tabella1[[#This Row],[Concatenato]],'Original data'!D:D,'Original data'!E:E)</f>
        <v>11</v>
      </c>
      <c r="L55" t="s">
        <v>614</v>
      </c>
    </row>
    <row r="56" spans="2:12" x14ac:dyDescent="0.3">
      <c r="B56" t="s">
        <v>592</v>
      </c>
      <c r="C56" t="s">
        <v>446</v>
      </c>
      <c r="D56" t="s">
        <v>586</v>
      </c>
      <c r="E56" t="str">
        <f>IF(Tabella1[[#This Row],[Data type]]= "GEOMORPHOLOGICAL DATA", "G", "N")</f>
        <v>G</v>
      </c>
      <c r="F56" t="s">
        <v>634</v>
      </c>
      <c r="G56" s="6" t="s">
        <v>394</v>
      </c>
      <c r="H56" t="s">
        <v>529</v>
      </c>
      <c r="I56" t="s">
        <v>517</v>
      </c>
      <c r="J56" t="str">
        <f t="shared" si="0"/>
        <v>Opere_Difesa_SuoloOPERE_FIUMI_PLbriglia</v>
      </c>
      <c r="K56">
        <f>_xlfn.XLOOKUP(Tabella1[[#This Row],[Concatenato]],'Original data'!D:D,'Original data'!E:E)</f>
        <v>6</v>
      </c>
      <c r="L56" t="s">
        <v>614</v>
      </c>
    </row>
    <row r="57" spans="2:12" x14ac:dyDescent="0.3">
      <c r="B57" t="s">
        <v>592</v>
      </c>
      <c r="C57" t="s">
        <v>425</v>
      </c>
      <c r="D57" t="s">
        <v>586</v>
      </c>
      <c r="E57" t="str">
        <f>IF(Tabella1[[#This Row],[Data type]]= "GEOMORPHOLOGICAL DATA", "G", "N")</f>
        <v>G</v>
      </c>
      <c r="F57" t="s">
        <v>634</v>
      </c>
      <c r="G57" s="6" t="s">
        <v>342</v>
      </c>
      <c r="H57" t="s">
        <v>529</v>
      </c>
      <c r="I57" t="s">
        <v>517</v>
      </c>
      <c r="J57" t="str">
        <f t="shared" si="0"/>
        <v>Opere_Difesa_SuoloODS_TOT_areebriglia filtrante</v>
      </c>
      <c r="K57">
        <f>_xlfn.XLOOKUP(Tabella1[[#This Row],[Concatenato]],'Original data'!D:D,'Original data'!E:E)</f>
        <v>3</v>
      </c>
      <c r="L57" t="s">
        <v>618</v>
      </c>
    </row>
    <row r="58" spans="2:12" x14ac:dyDescent="0.3">
      <c r="B58" t="s">
        <v>592</v>
      </c>
      <c r="C58" t="s">
        <v>443</v>
      </c>
      <c r="D58" t="s">
        <v>586</v>
      </c>
      <c r="E58" t="str">
        <f>IF(Tabella1[[#This Row],[Data type]]= "GEOMORPHOLOGICAL DATA", "G", "N")</f>
        <v>G</v>
      </c>
      <c r="F58" t="s">
        <v>634</v>
      </c>
      <c r="G58" s="6" t="s">
        <v>358</v>
      </c>
      <c r="H58" t="s">
        <v>529</v>
      </c>
      <c r="I58" t="s">
        <v>517</v>
      </c>
      <c r="J58" t="str">
        <f t="shared" si="0"/>
        <v>Opere_Difesa_SuoloODS_TOT_puntidiga</v>
      </c>
      <c r="K58">
        <f>_xlfn.XLOOKUP(Tabella1[[#This Row],[Concatenato]],'Original data'!D:D,'Original data'!E:E)</f>
        <v>2</v>
      </c>
      <c r="L58" t="s">
        <v>614</v>
      </c>
    </row>
    <row r="59" spans="2:12" x14ac:dyDescent="0.3">
      <c r="B59" t="s">
        <v>592</v>
      </c>
      <c r="C59" t="s">
        <v>425</v>
      </c>
      <c r="D59" t="s">
        <v>586</v>
      </c>
      <c r="E59" t="str">
        <f>IF(Tabella1[[#This Row],[Data type]]= "GEOMORPHOLOGICAL DATA", "G", "N")</f>
        <v>G</v>
      </c>
      <c r="F59" t="s">
        <v>634</v>
      </c>
      <c r="G59" s="6" t="s">
        <v>358</v>
      </c>
      <c r="H59" t="s">
        <v>529</v>
      </c>
      <c r="I59" t="s">
        <v>517</v>
      </c>
      <c r="J59" t="str">
        <f t="shared" si="0"/>
        <v>Opere_Difesa_SuoloODS_TOT_areediga</v>
      </c>
      <c r="K59">
        <f>_xlfn.XLOOKUP(Tabella1[[#This Row],[Concatenato]],'Original data'!D:D,'Original data'!E:E)</f>
        <v>1</v>
      </c>
      <c r="L59" t="s">
        <v>614</v>
      </c>
    </row>
    <row r="60" spans="2:12" x14ac:dyDescent="0.3">
      <c r="B60" t="s">
        <v>592</v>
      </c>
      <c r="C60" t="s">
        <v>446</v>
      </c>
      <c r="D60" t="s">
        <v>586</v>
      </c>
      <c r="E60" t="str">
        <f>IF(Tabella1[[#This Row],[Data type]]= "GEOMORPHOLOGICAL DATA", "G", "N")</f>
        <v>G</v>
      </c>
      <c r="F60" t="s">
        <v>634</v>
      </c>
      <c r="G60" s="6" t="s">
        <v>358</v>
      </c>
      <c r="H60" t="s">
        <v>529</v>
      </c>
      <c r="I60" t="s">
        <v>517</v>
      </c>
      <c r="J60" t="str">
        <f t="shared" si="0"/>
        <v>Opere_Difesa_SuoloOPERE_FIUMI_PLdiga</v>
      </c>
      <c r="K60">
        <f>_xlfn.XLOOKUP(Tabella1[[#This Row],[Concatenato]],'Original data'!D:D,'Original data'!E:E)</f>
        <v>1</v>
      </c>
      <c r="L60" t="s">
        <v>614</v>
      </c>
    </row>
    <row r="61" spans="2:12" x14ac:dyDescent="0.3">
      <c r="B61" t="s">
        <v>592</v>
      </c>
      <c r="C61" t="s">
        <v>443</v>
      </c>
      <c r="D61" t="s">
        <v>586</v>
      </c>
      <c r="E61" t="str">
        <f>IF(Tabella1[[#This Row],[Data type]]= "GEOMORPHOLOGICAL DATA", "G", "N")</f>
        <v>G</v>
      </c>
      <c r="F61" t="s">
        <v>634</v>
      </c>
      <c r="G61" s="6" t="s">
        <v>383</v>
      </c>
      <c r="H61" t="s">
        <v>530</v>
      </c>
      <c r="I61" t="s">
        <v>520</v>
      </c>
      <c r="J61" t="str">
        <f t="shared" si="0"/>
        <v>Opere_Difesa_SuoloODS_TOT_punticassa/vasca d'espansione</v>
      </c>
      <c r="K61">
        <f>_xlfn.XLOOKUP(Tabella1[[#This Row],[Concatenato]],'Original data'!D:D,'Original data'!E:E)</f>
        <v>19</v>
      </c>
      <c r="L61" t="s">
        <v>614</v>
      </c>
    </row>
    <row r="62" spans="2:12" x14ac:dyDescent="0.3">
      <c r="B62" t="s">
        <v>592</v>
      </c>
      <c r="C62" t="s">
        <v>426</v>
      </c>
      <c r="D62" t="s">
        <v>586</v>
      </c>
      <c r="E62" t="str">
        <f>IF(Tabella1[[#This Row],[Data type]]= "GEOMORPHOLOGICAL DATA", "G", "N")</f>
        <v>G</v>
      </c>
      <c r="F62" t="s">
        <v>634</v>
      </c>
      <c r="G62" t="s">
        <v>383</v>
      </c>
      <c r="H62" t="s">
        <v>530</v>
      </c>
      <c r="I62" t="s">
        <v>520</v>
      </c>
      <c r="J62" t="str">
        <f t="shared" si="0"/>
        <v>Opere_Difesa_SuoloODS_TOT_lineecassa/vasca d'espansione</v>
      </c>
      <c r="K62">
        <f>_xlfn.XLOOKUP(Tabella1[[#This Row],[Concatenato]],'Original data'!D:D,'Original data'!E:E)</f>
        <v>5</v>
      </c>
      <c r="L62" t="s">
        <v>614</v>
      </c>
    </row>
    <row r="63" spans="2:12" x14ac:dyDescent="0.3">
      <c r="B63" t="s">
        <v>592</v>
      </c>
      <c r="C63" t="s">
        <v>443</v>
      </c>
      <c r="D63" t="s">
        <v>586</v>
      </c>
      <c r="E63" t="str">
        <f>IF(Tabella1[[#This Row],[Data type]]= "GEOMORPHOLOGICAL DATA", "G", "N")</f>
        <v>G</v>
      </c>
      <c r="F63" t="s">
        <v>634</v>
      </c>
      <c r="G63" t="s">
        <v>404</v>
      </c>
      <c r="H63" t="s">
        <v>530</v>
      </c>
      <c r="I63" t="s">
        <v>520</v>
      </c>
      <c r="J63" t="str">
        <f t="shared" si="0"/>
        <v>Opere_Difesa_SuoloODS_TOT_punticassa d'espansione</v>
      </c>
      <c r="K63">
        <f>_xlfn.XLOOKUP(Tabella1[[#This Row],[Concatenato]],'Original data'!D:D,'Original data'!E:E)</f>
        <v>4</v>
      </c>
      <c r="L63" t="s">
        <v>614</v>
      </c>
    </row>
    <row r="64" spans="2:12" x14ac:dyDescent="0.3">
      <c r="B64" t="s">
        <v>592</v>
      </c>
      <c r="C64" t="s">
        <v>425</v>
      </c>
      <c r="D64" t="s">
        <v>586</v>
      </c>
      <c r="E64" t="str">
        <f>IF(Tabella1[[#This Row],[Data type]]= "GEOMORPHOLOGICAL DATA", "G", "N")</f>
        <v>G</v>
      </c>
      <c r="F64" t="s">
        <v>634</v>
      </c>
      <c r="G64" s="6" t="s">
        <v>383</v>
      </c>
      <c r="H64" t="s">
        <v>530</v>
      </c>
      <c r="I64" t="s">
        <v>520</v>
      </c>
      <c r="J64" t="str">
        <f t="shared" si="0"/>
        <v>Opere_Difesa_SuoloODS_TOT_areecassa/vasca d'espansione</v>
      </c>
      <c r="K64">
        <f>_xlfn.XLOOKUP(Tabella1[[#This Row],[Concatenato]],'Original data'!D:D,'Original data'!E:E)</f>
        <v>4</v>
      </c>
      <c r="L64" t="s">
        <v>614</v>
      </c>
    </row>
    <row r="65" spans="2:12" x14ac:dyDescent="0.3">
      <c r="B65" t="s">
        <v>592</v>
      </c>
      <c r="C65" t="s">
        <v>425</v>
      </c>
      <c r="D65" t="s">
        <v>586</v>
      </c>
      <c r="E65" t="str">
        <f>IF(Tabella1[[#This Row],[Data type]]= "GEOMORPHOLOGICAL DATA", "G", "N")</f>
        <v>G</v>
      </c>
      <c r="F65" t="s">
        <v>634</v>
      </c>
      <c r="G65" t="s">
        <v>404</v>
      </c>
      <c r="H65" t="s">
        <v>530</v>
      </c>
      <c r="I65" t="s">
        <v>520</v>
      </c>
      <c r="J65" t="str">
        <f t="shared" si="0"/>
        <v>Opere_Difesa_SuoloODS_TOT_areecassa d'espansione</v>
      </c>
      <c r="K65">
        <f>_xlfn.XLOOKUP(Tabella1[[#This Row],[Concatenato]],'Original data'!D:D,'Original data'!E:E)</f>
        <v>3</v>
      </c>
      <c r="L65" t="s">
        <v>614</v>
      </c>
    </row>
    <row r="66" spans="2:12" x14ac:dyDescent="0.3">
      <c r="B66" t="s">
        <v>592</v>
      </c>
      <c r="C66" t="s">
        <v>443</v>
      </c>
      <c r="D66" t="s">
        <v>586</v>
      </c>
      <c r="E66" t="str">
        <f>IF(Tabella1[[#This Row],[Data type]]= "GEOMORPHOLOGICAL DATA", "G", "N")</f>
        <v>G</v>
      </c>
      <c r="F66" t="s">
        <v>634</v>
      </c>
      <c r="G66" s="6" t="s">
        <v>345</v>
      </c>
      <c r="H66" t="s">
        <v>530</v>
      </c>
      <c r="I66" t="s">
        <v>520</v>
      </c>
      <c r="J66" t="str">
        <f t="shared" ref="J66:J129" si="1">_xlfn.CONCAT(B66,C66,G66)</f>
        <v>Opere_Difesa_SuoloODS_TOT_puntivasca di espansione</v>
      </c>
      <c r="K66">
        <f>_xlfn.XLOOKUP(Tabella1[[#This Row],[Concatenato]],'Original data'!D:D,'Original data'!E:E)</f>
        <v>70</v>
      </c>
      <c r="L66" t="s">
        <v>618</v>
      </c>
    </row>
    <row r="67" spans="2:12" x14ac:dyDescent="0.3">
      <c r="B67" t="s">
        <v>592</v>
      </c>
      <c r="C67" t="s">
        <v>425</v>
      </c>
      <c r="D67" t="s">
        <v>586</v>
      </c>
      <c r="E67" t="str">
        <f>IF(Tabella1[[#This Row],[Data type]]= "GEOMORPHOLOGICAL DATA", "G", "N")</f>
        <v>G</v>
      </c>
      <c r="F67" t="s">
        <v>634</v>
      </c>
      <c r="G67" s="6" t="s">
        <v>345</v>
      </c>
      <c r="H67" t="s">
        <v>530</v>
      </c>
      <c r="I67" t="s">
        <v>520</v>
      </c>
      <c r="J67" t="str">
        <f t="shared" si="1"/>
        <v>Opere_Difesa_SuoloODS_TOT_areevasca di espansione</v>
      </c>
      <c r="K67">
        <f>_xlfn.XLOOKUP(Tabella1[[#This Row],[Concatenato]],'Original data'!D:D,'Original data'!E:E)</f>
        <v>34</v>
      </c>
      <c r="L67" t="s">
        <v>618</v>
      </c>
    </row>
    <row r="68" spans="2:12" x14ac:dyDescent="0.3">
      <c r="B68" t="s">
        <v>592</v>
      </c>
      <c r="C68" t="s">
        <v>444</v>
      </c>
      <c r="D68" t="s">
        <v>586</v>
      </c>
      <c r="E68" t="str">
        <f>IF(Tabella1[[#This Row],[Data type]]= "GEOMORPHOLOGICAL DATA", "G", "N")</f>
        <v>G</v>
      </c>
      <c r="F68" t="s">
        <v>634</v>
      </c>
      <c r="G68" s="6" t="s">
        <v>345</v>
      </c>
      <c r="H68" t="s">
        <v>530</v>
      </c>
      <c r="I68" t="s">
        <v>520</v>
      </c>
      <c r="J68" t="str">
        <f t="shared" si="1"/>
        <v>Opere_Difesa_SuoloOPERE_FIUMI_PGvasca di espansione</v>
      </c>
      <c r="K68">
        <f>_xlfn.XLOOKUP(Tabella1[[#This Row],[Concatenato]],'Original data'!D:D,'Original data'!E:E)</f>
        <v>7</v>
      </c>
      <c r="L68" t="s">
        <v>618</v>
      </c>
    </row>
    <row r="69" spans="2:12" x14ac:dyDescent="0.3">
      <c r="B69" t="s">
        <v>592</v>
      </c>
      <c r="C69" t="s">
        <v>426</v>
      </c>
      <c r="D69" t="s">
        <v>586</v>
      </c>
      <c r="E69" t="str">
        <f>IF(Tabella1[[#This Row],[Data type]]= "GEOMORPHOLOGICAL DATA", "G", "N")</f>
        <v>G</v>
      </c>
      <c r="F69" t="s">
        <v>634</v>
      </c>
      <c r="G69" t="s">
        <v>345</v>
      </c>
      <c r="H69" t="s">
        <v>530</v>
      </c>
      <c r="I69" t="s">
        <v>520</v>
      </c>
      <c r="J69" t="str">
        <f t="shared" si="1"/>
        <v>Opere_Difesa_SuoloODS_TOT_lineevasca di espansione</v>
      </c>
      <c r="K69">
        <f>_xlfn.XLOOKUP(Tabella1[[#This Row],[Concatenato]],'Original data'!D:D,'Original data'!E:E)</f>
        <v>1</v>
      </c>
      <c r="L69" t="s">
        <v>618</v>
      </c>
    </row>
    <row r="70" spans="2:12" x14ac:dyDescent="0.3">
      <c r="B70" t="s">
        <v>592</v>
      </c>
      <c r="C70" t="s">
        <v>443</v>
      </c>
      <c r="D70" t="s">
        <v>586</v>
      </c>
      <c r="E70" t="str">
        <f>IF(Tabella1[[#This Row],[Data type]]= "GEOMORPHOLOGICAL DATA", "G", "N")</f>
        <v>G</v>
      </c>
      <c r="F70" t="s">
        <v>634</v>
      </c>
      <c r="G70" s="6" t="s">
        <v>419</v>
      </c>
      <c r="H70" s="6" t="s">
        <v>419</v>
      </c>
      <c r="I70" t="s">
        <v>521</v>
      </c>
      <c r="J70" t="str">
        <f t="shared" si="1"/>
        <v>Opere_Difesa_SuoloODS_TOT_puntipennello</v>
      </c>
      <c r="K70">
        <f>_xlfn.XLOOKUP(Tabella1[[#This Row],[Concatenato]],'Original data'!D:D,'Original data'!E:E)</f>
        <v>77</v>
      </c>
      <c r="L70" t="s">
        <v>614</v>
      </c>
    </row>
    <row r="71" spans="2:12" ht="14.4" customHeight="1" x14ac:dyDescent="0.3">
      <c r="B71" t="s">
        <v>592</v>
      </c>
      <c r="C71" t="s">
        <v>443</v>
      </c>
      <c r="D71" t="s">
        <v>586</v>
      </c>
      <c r="E71" t="str">
        <f>IF(Tabella1[[#This Row],[Data type]]= "GEOMORPHOLOGICAL DATA", "G", "N")</f>
        <v>G</v>
      </c>
      <c r="F71" t="s">
        <v>634</v>
      </c>
      <c r="G71" s="6" t="s">
        <v>419</v>
      </c>
      <c r="H71" s="6" t="s">
        <v>419</v>
      </c>
      <c r="I71" t="s">
        <v>521</v>
      </c>
      <c r="J71" t="str">
        <f t="shared" si="1"/>
        <v>Opere_Difesa_SuoloODS_TOT_puntipennello</v>
      </c>
      <c r="K71">
        <f>_xlfn.XLOOKUP(Tabella1[[#This Row],[Concatenato]],'Original data'!D:D,'Original data'!E:E)</f>
        <v>77</v>
      </c>
      <c r="L71" t="s">
        <v>614</v>
      </c>
    </row>
    <row r="72" spans="2:12" ht="14.4" customHeight="1" x14ac:dyDescent="0.3">
      <c r="B72" t="s">
        <v>592</v>
      </c>
      <c r="C72" t="s">
        <v>426</v>
      </c>
      <c r="D72" t="s">
        <v>586</v>
      </c>
      <c r="E72" t="str">
        <f>IF(Tabella1[[#This Row],[Data type]]= "GEOMORPHOLOGICAL DATA", "G", "N")</f>
        <v>G</v>
      </c>
      <c r="F72" t="s">
        <v>634</v>
      </c>
      <c r="G72" s="6" t="s">
        <v>419</v>
      </c>
      <c r="H72" s="6" t="s">
        <v>419</v>
      </c>
      <c r="I72" t="s">
        <v>521</v>
      </c>
      <c r="J72" t="str">
        <f t="shared" si="1"/>
        <v>Opere_Difesa_SuoloODS_TOT_lineepennello</v>
      </c>
      <c r="K72">
        <f>_xlfn.XLOOKUP(Tabella1[[#This Row],[Concatenato]],'Original data'!D:D,'Original data'!E:E)</f>
        <v>72</v>
      </c>
      <c r="L72" t="s">
        <v>614</v>
      </c>
    </row>
    <row r="73" spans="2:12" x14ac:dyDescent="0.3">
      <c r="B73" t="s">
        <v>592</v>
      </c>
      <c r="C73" t="s">
        <v>426</v>
      </c>
      <c r="D73" t="s">
        <v>586</v>
      </c>
      <c r="E73" t="str">
        <f>IF(Tabella1[[#This Row],[Data type]]= "GEOMORPHOLOGICAL DATA", "G", "N")</f>
        <v>G</v>
      </c>
      <c r="F73" t="s">
        <v>634</v>
      </c>
      <c r="G73" s="6" t="s">
        <v>419</v>
      </c>
      <c r="H73" s="6" t="s">
        <v>419</v>
      </c>
      <c r="I73" t="s">
        <v>521</v>
      </c>
      <c r="J73" t="str">
        <f t="shared" si="1"/>
        <v>Opere_Difesa_SuoloODS_TOT_lineepennello</v>
      </c>
      <c r="K73">
        <f>_xlfn.XLOOKUP(Tabella1[[#This Row],[Concatenato]],'Original data'!D:D,'Original data'!E:E)</f>
        <v>72</v>
      </c>
      <c r="L73" t="s">
        <v>614</v>
      </c>
    </row>
    <row r="74" spans="2:12" x14ac:dyDescent="0.3">
      <c r="B74" t="s">
        <v>592</v>
      </c>
      <c r="C74" t="s">
        <v>446</v>
      </c>
      <c r="D74" t="s">
        <v>586</v>
      </c>
      <c r="E74" t="str">
        <f>IF(Tabella1[[#This Row],[Data type]]= "GEOMORPHOLOGICAL DATA", "G", "N")</f>
        <v>G</v>
      </c>
      <c r="F74" t="s">
        <v>634</v>
      </c>
      <c r="G74" s="6" t="s">
        <v>419</v>
      </c>
      <c r="H74" s="6" t="s">
        <v>419</v>
      </c>
      <c r="I74" t="s">
        <v>521</v>
      </c>
      <c r="J74" t="str">
        <f t="shared" si="1"/>
        <v>Opere_Difesa_SuoloOPERE_FIUMI_PLpennello</v>
      </c>
      <c r="K74">
        <f>_xlfn.XLOOKUP(Tabella1[[#This Row],[Concatenato]],'Original data'!D:D,'Original data'!E:E)</f>
        <v>19</v>
      </c>
      <c r="L74" t="s">
        <v>614</v>
      </c>
    </row>
    <row r="75" spans="2:12" x14ac:dyDescent="0.3">
      <c r="B75" t="s">
        <v>592</v>
      </c>
      <c r="C75" t="s">
        <v>425</v>
      </c>
      <c r="D75" t="s">
        <v>586</v>
      </c>
      <c r="E75" t="str">
        <f>IF(Tabella1[[#This Row],[Data type]]= "GEOMORPHOLOGICAL DATA", "G", "N")</f>
        <v>G</v>
      </c>
      <c r="F75" t="s">
        <v>634</v>
      </c>
      <c r="G75" s="6" t="s">
        <v>419</v>
      </c>
      <c r="H75" s="6" t="s">
        <v>419</v>
      </c>
      <c r="I75" t="s">
        <v>521</v>
      </c>
      <c r="J75" t="str">
        <f t="shared" si="1"/>
        <v>Opere_Difesa_SuoloODS_TOT_areepennello</v>
      </c>
      <c r="K75">
        <f>_xlfn.XLOOKUP(Tabella1[[#This Row],[Concatenato]],'Original data'!D:D,'Original data'!E:E)</f>
        <v>1</v>
      </c>
      <c r="L75" t="s">
        <v>614</v>
      </c>
    </row>
    <row r="76" spans="2:12" x14ac:dyDescent="0.3">
      <c r="B76" t="s">
        <v>592</v>
      </c>
      <c r="C76" t="s">
        <v>426</v>
      </c>
      <c r="D76" t="s">
        <v>586</v>
      </c>
      <c r="E76" t="str">
        <f>IF(Tabella1[[#This Row],[Data type]]= "GEOMORPHOLOGICAL DATA", "G", "N")</f>
        <v>G</v>
      </c>
      <c r="F76" t="s">
        <v>634</v>
      </c>
      <c r="G76" t="s">
        <v>343</v>
      </c>
      <c r="H76" t="s">
        <v>607</v>
      </c>
      <c r="I76" t="s">
        <v>616</v>
      </c>
      <c r="J76" t="str">
        <f t="shared" si="1"/>
        <v>Opere_Difesa_SuoloODS_TOT_lineescogliera</v>
      </c>
      <c r="K76">
        <f>_xlfn.XLOOKUP(Tabella1[[#This Row],[Concatenato]],'Original data'!D:D,'Original data'!E:E)</f>
        <v>2929</v>
      </c>
      <c r="L76" t="s">
        <v>618</v>
      </c>
    </row>
    <row r="77" spans="2:12" x14ac:dyDescent="0.3">
      <c r="B77" t="s">
        <v>592</v>
      </c>
      <c r="C77" t="s">
        <v>446</v>
      </c>
      <c r="D77" t="s">
        <v>586</v>
      </c>
      <c r="E77" t="str">
        <f>IF(Tabella1[[#This Row],[Data type]]= "GEOMORPHOLOGICAL DATA", "G", "N")</f>
        <v>G</v>
      </c>
      <c r="F77" t="s">
        <v>634</v>
      </c>
      <c r="G77" t="s">
        <v>343</v>
      </c>
      <c r="H77" t="s">
        <v>607</v>
      </c>
      <c r="I77" t="s">
        <v>616</v>
      </c>
      <c r="J77" t="str">
        <f t="shared" si="1"/>
        <v>Opere_Difesa_SuoloOPERE_FIUMI_PLscogliera</v>
      </c>
      <c r="K77">
        <f>_xlfn.XLOOKUP(Tabella1[[#This Row],[Concatenato]],'Original data'!D:D,'Original data'!E:E)</f>
        <v>312</v>
      </c>
      <c r="L77" t="s">
        <v>618</v>
      </c>
    </row>
    <row r="78" spans="2:12" x14ac:dyDescent="0.3">
      <c r="B78" t="s">
        <v>592</v>
      </c>
      <c r="C78" t="s">
        <v>443</v>
      </c>
      <c r="D78" t="s">
        <v>586</v>
      </c>
      <c r="E78" t="str">
        <f>IF(Tabella1[[#This Row],[Data type]]= "GEOMORPHOLOGICAL DATA", "G", "N")</f>
        <v>G</v>
      </c>
      <c r="F78" t="s">
        <v>634</v>
      </c>
      <c r="G78" t="s">
        <v>343</v>
      </c>
      <c r="H78" t="s">
        <v>607</v>
      </c>
      <c r="I78" t="s">
        <v>616</v>
      </c>
      <c r="J78" t="str">
        <f t="shared" si="1"/>
        <v>Opere_Difesa_SuoloODS_TOT_puntiscogliera</v>
      </c>
      <c r="K78">
        <f>_xlfn.XLOOKUP(Tabella1[[#This Row],[Concatenato]],'Original data'!D:D,'Original data'!E:E)</f>
        <v>201</v>
      </c>
      <c r="L78" t="s">
        <v>618</v>
      </c>
    </row>
    <row r="79" spans="2:12" x14ac:dyDescent="0.3">
      <c r="B79" t="s">
        <v>592</v>
      </c>
      <c r="C79" t="s">
        <v>425</v>
      </c>
      <c r="D79" t="s">
        <v>586</v>
      </c>
      <c r="E79" t="str">
        <f>IF(Tabella1[[#This Row],[Data type]]= "GEOMORPHOLOGICAL DATA", "G", "N")</f>
        <v>G</v>
      </c>
      <c r="F79" t="s">
        <v>634</v>
      </c>
      <c r="G79" t="s">
        <v>343</v>
      </c>
      <c r="H79" t="s">
        <v>607</v>
      </c>
      <c r="I79" t="s">
        <v>616</v>
      </c>
      <c r="J79" t="str">
        <f t="shared" si="1"/>
        <v>Opere_Difesa_SuoloODS_TOT_areescogliera</v>
      </c>
      <c r="K79">
        <f>_xlfn.XLOOKUP(Tabella1[[#This Row],[Concatenato]],'Original data'!D:D,'Original data'!E:E)</f>
        <v>59</v>
      </c>
      <c r="L79" t="s">
        <v>618</v>
      </c>
    </row>
    <row r="80" spans="2:12" x14ac:dyDescent="0.3">
      <c r="B80" s="5" t="s">
        <v>595</v>
      </c>
      <c r="C80" t="s">
        <v>262</v>
      </c>
      <c r="D80" t="s">
        <v>586</v>
      </c>
      <c r="E80" t="str">
        <f>IF(Tabella1[[#This Row],[Data type]]= "GEOMORPHOLOGICAL DATA", "G", "N")</f>
        <v>G</v>
      </c>
      <c r="F80" t="s">
        <v>634</v>
      </c>
      <c r="G80" s="6" t="s">
        <v>323</v>
      </c>
      <c r="H80" s="6" t="s">
        <v>323</v>
      </c>
      <c r="I80" t="s">
        <v>495</v>
      </c>
      <c r="J80" t="str">
        <f t="shared" si="1"/>
        <v>DUSAFWIZ_U32WG_VS_DUSAF4Aree archeologiche</v>
      </c>
      <c r="K80">
        <f>_xlfn.XLOOKUP(Tabella1[[#This Row],[Concatenato]],'Original data'!D:D,'Original data'!E:E)</f>
        <v>6</v>
      </c>
      <c r="L80" t="s">
        <v>614</v>
      </c>
    </row>
    <row r="81" spans="2:12" x14ac:dyDescent="0.3">
      <c r="B81" s="5" t="s">
        <v>8</v>
      </c>
      <c r="C81" t="s">
        <v>11</v>
      </c>
      <c r="D81" t="s">
        <v>586</v>
      </c>
      <c r="E81" t="str">
        <f>IF(Tabella1[[#This Row],[Data type]]= "GEOMORPHOLOGICAL DATA", "G", "N")</f>
        <v>G</v>
      </c>
      <c r="F81" t="s">
        <v>639</v>
      </c>
      <c r="G81" t="s">
        <v>1</v>
      </c>
      <c r="H81" t="s">
        <v>532</v>
      </c>
      <c r="I81" t="s">
        <v>531</v>
      </c>
      <c r="J81" t="str">
        <f t="shared" si="1"/>
        <v>geoambientaliAG_GEO_WGSdolina</v>
      </c>
      <c r="K81">
        <f>_xlfn.XLOOKUP(Tabella1[[#This Row],[Concatenato]],'Original data'!D:D,'Original data'!E:E)</f>
        <v>358</v>
      </c>
      <c r="L81" t="s">
        <v>618</v>
      </c>
    </row>
    <row r="82" spans="2:12" x14ac:dyDescent="0.3">
      <c r="B82" s="5" t="s">
        <v>8</v>
      </c>
      <c r="C82" t="s">
        <v>46</v>
      </c>
      <c r="D82" t="s">
        <v>586</v>
      </c>
      <c r="E82" t="str">
        <f>IF(Tabella1[[#This Row],[Data type]]= "GEOMORPHOLOGICAL DATA", "G", "N")</f>
        <v>G</v>
      </c>
      <c r="F82" t="s">
        <v>639</v>
      </c>
      <c r="G82" t="s">
        <v>54</v>
      </c>
      <c r="H82" t="s">
        <v>532</v>
      </c>
      <c r="I82" t="s">
        <v>531</v>
      </c>
      <c r="J82" t="str">
        <f t="shared" si="1"/>
        <v>geoambientaliPG_GEO_WGSdoline</v>
      </c>
      <c r="K82">
        <f>_xlfn.XLOOKUP(Tabella1[[#This Row],[Concatenato]],'Original data'!D:D,'Original data'!E:E)</f>
        <v>52</v>
      </c>
      <c r="L82" t="s">
        <v>618</v>
      </c>
    </row>
    <row r="83" spans="2:12" x14ac:dyDescent="0.3">
      <c r="B83" s="5" t="s">
        <v>8</v>
      </c>
      <c r="C83" t="s">
        <v>11</v>
      </c>
      <c r="D83" t="s">
        <v>586</v>
      </c>
      <c r="E83" t="str">
        <f>IF(Tabella1[[#This Row],[Data type]]= "GEOMORPHOLOGICAL DATA", "G", "N")</f>
        <v>G</v>
      </c>
      <c r="F83" t="s">
        <v>639</v>
      </c>
      <c r="G83" t="s">
        <v>3</v>
      </c>
      <c r="H83" t="s">
        <v>533</v>
      </c>
      <c r="I83" t="s">
        <v>448</v>
      </c>
      <c r="J83" t="str">
        <f t="shared" si="1"/>
        <v>geoambientaliAG_GEO_WGSarea interessata da diffusi fenomeni carsici</v>
      </c>
      <c r="K83">
        <f>_xlfn.XLOOKUP(Tabella1[[#This Row],[Concatenato]],'Original data'!D:D,'Original data'!E:E)</f>
        <v>74</v>
      </c>
      <c r="L83" t="s">
        <v>618</v>
      </c>
    </row>
    <row r="84" spans="2:12" x14ac:dyDescent="0.3">
      <c r="B84" s="5" t="s">
        <v>8</v>
      </c>
      <c r="C84" t="s">
        <v>46</v>
      </c>
      <c r="D84" t="s">
        <v>586</v>
      </c>
      <c r="E84" t="str">
        <f>IF(Tabella1[[#This Row],[Data type]]= "GEOMORPHOLOGICAL DATA", "G", "N")</f>
        <v>G</v>
      </c>
      <c r="F84" t="s">
        <v>639</v>
      </c>
      <c r="G84" t="s">
        <v>51</v>
      </c>
      <c r="H84" t="s">
        <v>534</v>
      </c>
      <c r="I84" t="s">
        <v>470</v>
      </c>
      <c r="J84" t="str">
        <f t="shared" si="1"/>
        <v>geoambientaliPG_GEO_WGSgrotte</v>
      </c>
      <c r="K84">
        <f>_xlfn.XLOOKUP(Tabella1[[#This Row],[Concatenato]],'Original data'!D:D,'Original data'!E:E)</f>
        <v>86</v>
      </c>
      <c r="L84" t="s">
        <v>618</v>
      </c>
    </row>
    <row r="85" spans="2:12" x14ac:dyDescent="0.3">
      <c r="B85" s="5" t="s">
        <v>8</v>
      </c>
      <c r="C85" t="s">
        <v>46</v>
      </c>
      <c r="D85" t="s">
        <v>586</v>
      </c>
      <c r="E85" t="str">
        <f>IF(Tabella1[[#This Row],[Data type]]= "GEOMORPHOLOGICAL DATA", "G", "N")</f>
        <v>G</v>
      </c>
      <c r="F85" t="s">
        <v>639</v>
      </c>
      <c r="G85" t="s">
        <v>53</v>
      </c>
      <c r="H85" t="s">
        <v>535</v>
      </c>
      <c r="I85" t="s">
        <v>472</v>
      </c>
      <c r="J85" t="str">
        <f t="shared" si="1"/>
        <v>geoambientaliPG_GEO_WGSsorgente carsica</v>
      </c>
      <c r="K85">
        <f>_xlfn.XLOOKUP(Tabella1[[#This Row],[Concatenato]],'Original data'!D:D,'Original data'!E:E)</f>
        <v>8</v>
      </c>
      <c r="L85" t="s">
        <v>614</v>
      </c>
    </row>
    <row r="86" spans="2:12" x14ac:dyDescent="0.3">
      <c r="B86" s="5" t="s">
        <v>8</v>
      </c>
      <c r="C86" t="s">
        <v>46</v>
      </c>
      <c r="D86" t="s">
        <v>586</v>
      </c>
      <c r="E86" t="str">
        <f>IF(Tabella1[[#This Row],[Data type]]= "GEOMORPHOLOGICAL DATA", "G", "N")</f>
        <v>G</v>
      </c>
      <c r="F86" t="s">
        <v>633</v>
      </c>
      <c r="G86" t="s">
        <v>50</v>
      </c>
      <c r="H86" t="s">
        <v>536</v>
      </c>
      <c r="I86" t="s">
        <v>469</v>
      </c>
      <c r="J86" t="str">
        <f t="shared" si="1"/>
        <v>geoambientaliPG_GEO_WGSpicchi</v>
      </c>
      <c r="K86">
        <f>_xlfn.XLOOKUP(Tabella1[[#This Row],[Concatenato]],'Original data'!D:D,'Original data'!E:E)</f>
        <v>220</v>
      </c>
      <c r="L86" t="s">
        <v>617</v>
      </c>
    </row>
    <row r="87" spans="2:12" x14ac:dyDescent="0.3">
      <c r="B87" s="5" t="s">
        <v>8</v>
      </c>
      <c r="C87" t="s">
        <v>41</v>
      </c>
      <c r="D87" t="s">
        <v>586</v>
      </c>
      <c r="E87" t="str">
        <f>IF(Tabella1[[#This Row],[Data type]]= "GEOMORPHOLOGICAL DATA", "G", "N")</f>
        <v>G</v>
      </c>
      <c r="F87" t="s">
        <v>633</v>
      </c>
      <c r="G87" t="s">
        <v>39</v>
      </c>
      <c r="H87" t="s">
        <v>39</v>
      </c>
      <c r="I87" t="s">
        <v>463</v>
      </c>
      <c r="J87" t="str">
        <f t="shared" si="1"/>
        <v>geoambientaliMG_GEO_WGScresta</v>
      </c>
      <c r="K87">
        <f>_xlfn.XLOOKUP(Tabella1[[#This Row],[Concatenato]],'Original data'!D:D,'Original data'!E:E)</f>
        <v>1281</v>
      </c>
      <c r="L87" t="s">
        <v>614</v>
      </c>
    </row>
    <row r="88" spans="2:12" x14ac:dyDescent="0.3">
      <c r="B88" s="5" t="s">
        <v>591</v>
      </c>
      <c r="C88" t="s">
        <v>138</v>
      </c>
      <c r="D88" t="s">
        <v>586</v>
      </c>
      <c r="E88" t="str">
        <f>IF(Tabella1[[#This Row],[Data type]]= "GEOMORPHOLOGICAL DATA", "G", "N")</f>
        <v>G</v>
      </c>
      <c r="F88" t="s">
        <v>633</v>
      </c>
      <c r="G88" t="s">
        <v>139</v>
      </c>
      <c r="H88" t="s">
        <v>580</v>
      </c>
      <c r="I88" t="s">
        <v>581</v>
      </c>
      <c r="J88" t="str">
        <f t="shared" si="1"/>
        <v>basi_ambientali_pianuraWIZ_U32WG_VS_SIT_IDRO_FONTANfontanili</v>
      </c>
      <c r="K88">
        <f>_xlfn.XLOOKUP(Tabella1[[#This Row],[Concatenato]],'Original data'!D:D,'Original data'!E:E)</f>
        <v>807</v>
      </c>
      <c r="L88" t="s">
        <v>618</v>
      </c>
    </row>
    <row r="89" spans="2:12" x14ac:dyDescent="0.3">
      <c r="B89" s="5" t="s">
        <v>8</v>
      </c>
      <c r="C89" t="s">
        <v>35</v>
      </c>
      <c r="D89" t="s">
        <v>586</v>
      </c>
      <c r="E89" t="str">
        <f>IF(Tabella1[[#This Row],[Data type]]= "GEOMORPHOLOGICAL DATA", "G", "N")</f>
        <v>G</v>
      </c>
      <c r="F89" t="s">
        <v>633</v>
      </c>
      <c r="G89" t="s">
        <v>31</v>
      </c>
      <c r="H89" t="s">
        <v>537</v>
      </c>
      <c r="I89" t="s">
        <v>459</v>
      </c>
      <c r="J89" t="str">
        <f t="shared" si="1"/>
        <v>geoambientaliGD_GEO_WGStracce di ruscellamento diffuso</v>
      </c>
      <c r="K89">
        <f>_xlfn.XLOOKUP(Tabella1[[#This Row],[Concatenato]],'Original data'!D:D,'Original data'!E:E)</f>
        <v>8666</v>
      </c>
      <c r="L89" t="s">
        <v>618</v>
      </c>
    </row>
    <row r="90" spans="2:12" x14ac:dyDescent="0.3">
      <c r="B90" s="5" t="s">
        <v>8</v>
      </c>
      <c r="C90" t="s">
        <v>46</v>
      </c>
      <c r="D90" t="s">
        <v>586</v>
      </c>
      <c r="E90" t="str">
        <f>IF(Tabella1[[#This Row],[Data type]]= "GEOMORPHOLOGICAL DATA", "G", "N")</f>
        <v>G</v>
      </c>
      <c r="F90" t="s">
        <v>633</v>
      </c>
      <c r="G90" t="s">
        <v>52</v>
      </c>
      <c r="H90" t="s">
        <v>538</v>
      </c>
      <c r="I90" t="s">
        <v>471</v>
      </c>
      <c r="J90" t="str">
        <f t="shared" si="1"/>
        <v>geoambientaliPG_GEO_WGSpiramidi di terra</v>
      </c>
      <c r="K90">
        <f>_xlfn.XLOOKUP(Tabella1[[#This Row],[Concatenato]],'Original data'!D:D,'Original data'!E:E)</f>
        <v>3</v>
      </c>
      <c r="L90" t="s">
        <v>618</v>
      </c>
    </row>
    <row r="91" spans="2:12" x14ac:dyDescent="0.3">
      <c r="B91" s="5" t="s">
        <v>8</v>
      </c>
      <c r="C91" t="s">
        <v>11</v>
      </c>
      <c r="D91" t="s">
        <v>586</v>
      </c>
      <c r="E91" t="str">
        <f>IF(Tabella1[[#This Row],[Data type]]= "GEOMORPHOLOGICAL DATA", "G", "N")</f>
        <v>G</v>
      </c>
      <c r="F91" t="s">
        <v>633</v>
      </c>
      <c r="G91" t="s">
        <v>5</v>
      </c>
      <c r="H91" t="s">
        <v>539</v>
      </c>
      <c r="I91" t="s">
        <v>450</v>
      </c>
      <c r="J91" t="str">
        <f t="shared" si="1"/>
        <v>geoambientaliAG_GEO_WGSarea calanchiva</v>
      </c>
      <c r="K91">
        <f>_xlfn.XLOOKUP(Tabella1[[#This Row],[Concatenato]],'Original data'!D:D,'Original data'!E:E)</f>
        <v>85</v>
      </c>
      <c r="L91" t="s">
        <v>618</v>
      </c>
    </row>
    <row r="92" spans="2:12" x14ac:dyDescent="0.3">
      <c r="B92" s="5" t="s">
        <v>591</v>
      </c>
      <c r="C92" t="s">
        <v>92</v>
      </c>
      <c r="D92" t="s">
        <v>586</v>
      </c>
      <c r="E92" t="str">
        <f>IF(Tabella1[[#This Row],[Data type]]= "GEOMORPHOLOGICAL DATA", "G", "N")</f>
        <v>G</v>
      </c>
      <c r="F92" t="s">
        <v>633</v>
      </c>
      <c r="G92" t="s">
        <v>105</v>
      </c>
      <c r="H92" t="s">
        <v>105</v>
      </c>
      <c r="I92" t="s">
        <v>484</v>
      </c>
      <c r="J92" t="str">
        <f t="shared" si="1"/>
        <v>basi_ambientali_pianuraWIZ_U32WG_VS_SIT_BASI_ELELINsolco di ruscellamento concentrato</v>
      </c>
      <c r="K92">
        <f>_xlfn.XLOOKUP(Tabella1[[#This Row],[Concatenato]],'Original data'!D:D,'Original data'!E:E)</f>
        <v>371</v>
      </c>
      <c r="L92" t="s">
        <v>614</v>
      </c>
    </row>
    <row r="93" spans="2:12" x14ac:dyDescent="0.3">
      <c r="B93" s="5" t="s">
        <v>591</v>
      </c>
      <c r="C93" t="s">
        <v>92</v>
      </c>
      <c r="D93" t="s">
        <v>586</v>
      </c>
      <c r="E93" t="str">
        <f>IF(Tabella1[[#This Row],[Data type]]= "GEOMORPHOLOGICAL DATA", "G", "N")</f>
        <v>G</v>
      </c>
      <c r="F93" t="s">
        <v>633</v>
      </c>
      <c r="G93" t="s">
        <v>113</v>
      </c>
      <c r="H93" t="s">
        <v>113</v>
      </c>
      <c r="I93" t="s">
        <v>489</v>
      </c>
      <c r="J93" t="str">
        <f t="shared" si="1"/>
        <v>basi_ambientali_pianuraWIZ_U32WG_VS_SIT_BASI_ELELINVallecola a V</v>
      </c>
      <c r="K93">
        <f>_xlfn.XLOOKUP(Tabella1[[#This Row],[Concatenato]],'Original data'!D:D,'Original data'!E:E)</f>
        <v>589</v>
      </c>
      <c r="L93" t="s">
        <v>614</v>
      </c>
    </row>
    <row r="94" spans="2:12" x14ac:dyDescent="0.3">
      <c r="B94" s="5" t="s">
        <v>591</v>
      </c>
      <c r="C94" t="s">
        <v>92</v>
      </c>
      <c r="D94" t="s">
        <v>586</v>
      </c>
      <c r="E94" t="str">
        <f>IF(Tabella1[[#This Row],[Data type]]= "GEOMORPHOLOGICAL DATA", "G", "N")</f>
        <v>G</v>
      </c>
      <c r="F94" t="s">
        <v>633</v>
      </c>
      <c r="G94" t="s">
        <v>106</v>
      </c>
      <c r="H94" t="s">
        <v>106</v>
      </c>
      <c r="I94" t="s">
        <v>485</v>
      </c>
      <c r="J94" t="str">
        <f t="shared" si="1"/>
        <v>basi_ambientali_pianuraWIZ_U32WG_VS_SIT_BASI_ELELINforra</v>
      </c>
      <c r="K94">
        <f>_xlfn.XLOOKUP(Tabella1[[#This Row],[Concatenato]],'Original data'!D:D,'Original data'!E:E)</f>
        <v>148</v>
      </c>
      <c r="L94" t="s">
        <v>614</v>
      </c>
    </row>
    <row r="95" spans="2:12" x14ac:dyDescent="0.3">
      <c r="B95" s="5" t="s">
        <v>8</v>
      </c>
      <c r="C95" t="s">
        <v>12</v>
      </c>
      <c r="D95" t="s">
        <v>586</v>
      </c>
      <c r="E95" t="str">
        <f>IF(Tabella1[[#This Row],[Data type]]= "GEOMORPHOLOGICAL DATA", "G", "N")</f>
        <v>G</v>
      </c>
      <c r="F95" t="s">
        <v>633</v>
      </c>
      <c r="G95" t="s">
        <v>13</v>
      </c>
      <c r="H95" t="s">
        <v>13</v>
      </c>
      <c r="I95" t="s">
        <v>452</v>
      </c>
      <c r="J95" t="str">
        <f t="shared" si="1"/>
        <v>geoambientaliCA_GEO_WGScascata</v>
      </c>
      <c r="K95">
        <f>_xlfn.XLOOKUP(Tabella1[[#This Row],[Concatenato]],'Original data'!D:D,'Original data'!E:E)</f>
        <v>897</v>
      </c>
      <c r="L95" t="s">
        <v>614</v>
      </c>
    </row>
    <row r="96" spans="2:12" x14ac:dyDescent="0.3">
      <c r="B96" s="5" t="s">
        <v>8</v>
      </c>
      <c r="C96" t="s">
        <v>46</v>
      </c>
      <c r="D96" t="s">
        <v>586</v>
      </c>
      <c r="E96" t="str">
        <f>IF(Tabella1[[#This Row],[Data type]]= "GEOMORPHOLOGICAL DATA", "G", "N")</f>
        <v>G</v>
      </c>
      <c r="F96" t="s">
        <v>633</v>
      </c>
      <c r="G96" t="s">
        <v>55</v>
      </c>
      <c r="H96" t="s">
        <v>540</v>
      </c>
      <c r="I96" t="s">
        <v>473</v>
      </c>
      <c r="J96" t="str">
        <f t="shared" si="1"/>
        <v>geoambientaliPG_GEO_WGSmarmitte</v>
      </c>
      <c r="K96">
        <f>_xlfn.XLOOKUP(Tabella1[[#This Row],[Concatenato]],'Original data'!D:D,'Original data'!E:E)</f>
        <v>26</v>
      </c>
      <c r="L96" t="s">
        <v>622</v>
      </c>
    </row>
    <row r="97" spans="2:12" x14ac:dyDescent="0.3">
      <c r="B97" s="5" t="s">
        <v>591</v>
      </c>
      <c r="C97" t="s">
        <v>92</v>
      </c>
      <c r="D97" t="s">
        <v>586</v>
      </c>
      <c r="E97" t="str">
        <f>IF(Tabella1[[#This Row],[Data type]]= "GEOMORPHOLOGICAL DATA", "G", "N")</f>
        <v>G</v>
      </c>
      <c r="F97" t="s">
        <v>633</v>
      </c>
      <c r="G97" t="s">
        <v>109</v>
      </c>
      <c r="H97" t="s">
        <v>541</v>
      </c>
      <c r="I97" t="s">
        <v>487</v>
      </c>
      <c r="J97" t="str">
        <f t="shared" si="1"/>
        <v>basi_ambientali_pianuraWIZ_U32WG_VS_SIT_BASI_ELELINgomiti di cattura fluviale</v>
      </c>
      <c r="K97">
        <f>_xlfn.XLOOKUP(Tabella1[[#This Row],[Concatenato]],'Original data'!D:D,'Original data'!E:E)</f>
        <v>9</v>
      </c>
      <c r="L97" t="s">
        <v>622</v>
      </c>
    </row>
    <row r="98" spans="2:12" x14ac:dyDescent="0.3">
      <c r="B98" s="5" t="s">
        <v>8</v>
      </c>
      <c r="C98" t="s">
        <v>78</v>
      </c>
      <c r="D98" t="s">
        <v>586</v>
      </c>
      <c r="E98" t="str">
        <f>IF(Tabella1[[#This Row],[Data type]]= "GEOMORPHOLOGICAL DATA", "G", "N")</f>
        <v>G</v>
      </c>
      <c r="F98" t="s">
        <v>633</v>
      </c>
      <c r="G98" t="s">
        <v>81</v>
      </c>
      <c r="H98" t="s">
        <v>542</v>
      </c>
      <c r="I98" t="s">
        <v>477</v>
      </c>
      <c r="J98" t="str">
        <f t="shared" si="1"/>
        <v>geoambientaliOS_GEP_WGSorlo di scarpata di erosione fluviale</v>
      </c>
      <c r="K98">
        <f>_xlfn.XLOOKUP(Tabella1[[#This Row],[Concatenato]],'Original data'!D:D,'Original data'!E:E)</f>
        <v>19486</v>
      </c>
      <c r="L98" t="s">
        <v>618</v>
      </c>
    </row>
    <row r="99" spans="2:12" x14ac:dyDescent="0.3">
      <c r="B99" s="5" t="s">
        <v>591</v>
      </c>
      <c r="C99" t="s">
        <v>92</v>
      </c>
      <c r="D99" t="s">
        <v>586</v>
      </c>
      <c r="E99" t="str">
        <f>IF(Tabella1[[#This Row],[Data type]]= "GEOMORPHOLOGICAL DATA", "G", "N")</f>
        <v>G</v>
      </c>
      <c r="F99" t="s">
        <v>633</v>
      </c>
      <c r="G99" t="s">
        <v>107</v>
      </c>
      <c r="H99" t="s">
        <v>543</v>
      </c>
      <c r="I99" t="s">
        <v>486</v>
      </c>
      <c r="J99" t="str">
        <f t="shared" si="1"/>
        <v>basi_ambientali_pianuraWIZ_U32WG_VS_SIT_BASI_ELELINprocessi di salto di meandro</v>
      </c>
      <c r="K99">
        <f>_xlfn.XLOOKUP(Tabella1[[#This Row],[Concatenato]],'Original data'!D:D,'Original data'!E:E)</f>
        <v>78</v>
      </c>
      <c r="L99" t="s">
        <v>618</v>
      </c>
    </row>
    <row r="100" spans="2:12" x14ac:dyDescent="0.3">
      <c r="B100" s="5" t="s">
        <v>591</v>
      </c>
      <c r="C100" t="s">
        <v>92</v>
      </c>
      <c r="D100" t="s">
        <v>586</v>
      </c>
      <c r="E100" t="str">
        <f>IF(Tabella1[[#This Row],[Data type]]= "GEOMORPHOLOGICAL DATA", "G", "N")</f>
        <v>G</v>
      </c>
      <c r="F100" t="s">
        <v>633</v>
      </c>
      <c r="G100" t="s">
        <v>93</v>
      </c>
      <c r="H100" t="s">
        <v>544</v>
      </c>
      <c r="I100" t="s">
        <v>449</v>
      </c>
      <c r="J100" t="str">
        <f t="shared" si="1"/>
        <v>basi_ambientali_pianuraWIZ_U32WG_VS_SIT_BASI_ELELINpaleoalvei</v>
      </c>
      <c r="K100">
        <f>_xlfn.XLOOKUP(Tabella1[[#This Row],[Concatenato]],'Original data'!D:D,'Original data'!E:E)</f>
        <v>13796</v>
      </c>
      <c r="L100" t="s">
        <v>618</v>
      </c>
    </row>
    <row r="101" spans="2:12" x14ac:dyDescent="0.3">
      <c r="B101" s="5" t="s">
        <v>591</v>
      </c>
      <c r="C101" t="s">
        <v>92</v>
      </c>
      <c r="D101" t="s">
        <v>586</v>
      </c>
      <c r="E101" t="str">
        <f>IF(Tabella1[[#This Row],[Data type]]= "GEOMORPHOLOGICAL DATA", "G", "N")</f>
        <v>G</v>
      </c>
      <c r="F101" t="s">
        <v>633</v>
      </c>
      <c r="G101" t="s">
        <v>4</v>
      </c>
      <c r="H101" t="s">
        <v>544</v>
      </c>
      <c r="I101" t="s">
        <v>449</v>
      </c>
      <c r="J101" t="str">
        <f t="shared" si="1"/>
        <v>basi_ambientali_pianuraWIZ_U32WG_VS_SIT_BASI_ELELINalveo abbandonato</v>
      </c>
      <c r="K101">
        <f>_xlfn.XLOOKUP(Tabella1[[#This Row],[Concatenato]],'Original data'!D:D,'Original data'!E:E)</f>
        <v>308</v>
      </c>
      <c r="L101" t="s">
        <v>618</v>
      </c>
    </row>
    <row r="102" spans="2:12" x14ac:dyDescent="0.3">
      <c r="B102" s="5" t="s">
        <v>8</v>
      </c>
      <c r="C102" t="s">
        <v>11</v>
      </c>
      <c r="D102" t="s">
        <v>586</v>
      </c>
      <c r="E102" t="str">
        <f>IF(Tabella1[[#This Row],[Data type]]= "GEOMORPHOLOGICAL DATA", "G", "N")</f>
        <v>G</v>
      </c>
      <c r="F102" t="s">
        <v>633</v>
      </c>
      <c r="G102" t="s">
        <v>4</v>
      </c>
      <c r="H102" t="s">
        <v>544</v>
      </c>
      <c r="I102" t="s">
        <v>449</v>
      </c>
      <c r="J102" t="str">
        <f t="shared" si="1"/>
        <v>geoambientaliAG_GEO_WGSalveo abbandonato</v>
      </c>
      <c r="K102">
        <f>_xlfn.XLOOKUP(Tabella1[[#This Row],[Concatenato]],'Original data'!D:D,'Original data'!E:E)</f>
        <v>76</v>
      </c>
      <c r="L102" t="s">
        <v>618</v>
      </c>
    </row>
    <row r="103" spans="2:12" x14ac:dyDescent="0.3">
      <c r="B103" s="5" t="s">
        <v>591</v>
      </c>
      <c r="C103" t="s">
        <v>92</v>
      </c>
      <c r="D103" t="s">
        <v>586</v>
      </c>
      <c r="E103" t="str">
        <f>IF(Tabella1[[#This Row],[Data type]]= "GEOMORPHOLOGICAL DATA", "G", "N")</f>
        <v>G</v>
      </c>
      <c r="F103" t="s">
        <v>633</v>
      </c>
      <c r="G103" t="s">
        <v>98</v>
      </c>
      <c r="H103" t="s">
        <v>545</v>
      </c>
      <c r="I103" t="s">
        <v>455</v>
      </c>
      <c r="J103" t="str">
        <f t="shared" si="1"/>
        <v>basi_ambientali_pianuraWIZ_U32WG_VS_SIT_BASI_ELELINtracce di scaricatori fluvioglaciali</v>
      </c>
      <c r="K103">
        <f>_xlfn.XLOOKUP(Tabella1[[#This Row],[Concatenato]],'Original data'!D:D,'Original data'!E:E)</f>
        <v>274</v>
      </c>
      <c r="L103" t="s">
        <v>618</v>
      </c>
    </row>
    <row r="104" spans="2:12" x14ac:dyDescent="0.3">
      <c r="B104" s="5" t="s">
        <v>8</v>
      </c>
      <c r="C104" t="s">
        <v>23</v>
      </c>
      <c r="D104" t="s">
        <v>586</v>
      </c>
      <c r="E104" t="str">
        <f>IF(Tabella1[[#This Row],[Data type]]= "GEOMORPHOLOGICAL DATA", "G", "N")</f>
        <v>G</v>
      </c>
      <c r="F104" t="s">
        <v>633</v>
      </c>
      <c r="G104" t="s">
        <v>22</v>
      </c>
      <c r="H104" t="s">
        <v>545</v>
      </c>
      <c r="I104" t="s">
        <v>455</v>
      </c>
      <c r="J104" t="str">
        <f t="shared" si="1"/>
        <v>geoambientaliEI_GEO_WGStraccia di scaricatore fluvioglaciale</v>
      </c>
      <c r="K104">
        <f>_xlfn.XLOOKUP(Tabella1[[#This Row],[Concatenato]],'Original data'!D:D,'Original data'!E:E)</f>
        <v>255</v>
      </c>
      <c r="L104" t="s">
        <v>618</v>
      </c>
    </row>
    <row r="105" spans="2:12" x14ac:dyDescent="0.3">
      <c r="B105" s="5" t="s">
        <v>591</v>
      </c>
      <c r="C105" t="s">
        <v>92</v>
      </c>
      <c r="D105" t="s">
        <v>586</v>
      </c>
      <c r="E105" t="str">
        <f>IF(Tabella1[[#This Row],[Data type]]= "GEOMORPHOLOGICAL DATA", "G", "N")</f>
        <v>G</v>
      </c>
      <c r="F105" t="s">
        <v>633</v>
      </c>
      <c r="G105" t="s">
        <v>104</v>
      </c>
      <c r="H105" t="s">
        <v>546</v>
      </c>
      <c r="I105" t="s">
        <v>483</v>
      </c>
      <c r="J105" t="str">
        <f t="shared" si="1"/>
        <v>basi_ambientali_pianuraWIZ_U32WG_VS_SIT_BASI_ELELINalveo torrentizio in erosione o incassato</v>
      </c>
      <c r="K105">
        <f>_xlfn.XLOOKUP(Tabella1[[#This Row],[Concatenato]],'Original data'!D:D,'Original data'!E:E)</f>
        <v>753</v>
      </c>
      <c r="L105" t="s">
        <v>618</v>
      </c>
    </row>
    <row r="106" spans="2:12" x14ac:dyDescent="0.3">
      <c r="B106" s="5" t="s">
        <v>591</v>
      </c>
      <c r="C106" t="s">
        <v>92</v>
      </c>
      <c r="D106" t="s">
        <v>586</v>
      </c>
      <c r="E106" t="str">
        <f>IF(Tabella1[[#This Row],[Data type]]= "GEOMORPHOLOGICAL DATA", "G", "N")</f>
        <v>G</v>
      </c>
      <c r="F106" t="s">
        <v>633</v>
      </c>
      <c r="G106" t="s">
        <v>112</v>
      </c>
      <c r="H106" t="s">
        <v>546</v>
      </c>
      <c r="I106" t="s">
        <v>483</v>
      </c>
      <c r="J106" t="str">
        <f t="shared" si="1"/>
        <v>basi_ambientali_pianuraWIZ_U32WG_VS_SIT_BASI_ELELINTratto di alveo fluviale incassato</v>
      </c>
      <c r="K106">
        <f>_xlfn.XLOOKUP(Tabella1[[#This Row],[Concatenato]],'Original data'!D:D,'Original data'!E:E)</f>
        <v>49</v>
      </c>
      <c r="L106" t="s">
        <v>618</v>
      </c>
    </row>
    <row r="107" spans="2:12" x14ac:dyDescent="0.3">
      <c r="B107" s="5" t="s">
        <v>591</v>
      </c>
      <c r="C107" t="s">
        <v>92</v>
      </c>
      <c r="D107" t="s">
        <v>586</v>
      </c>
      <c r="E107" t="str">
        <f>IF(Tabella1[[#This Row],[Data type]]= "GEOMORPHOLOGICAL DATA", "G", "N")</f>
        <v>G</v>
      </c>
      <c r="F107" t="s">
        <v>633</v>
      </c>
      <c r="G107" t="s">
        <v>114</v>
      </c>
      <c r="H107" t="s">
        <v>546</v>
      </c>
      <c r="I107" t="s">
        <v>483</v>
      </c>
      <c r="J107" t="str">
        <f t="shared" si="1"/>
        <v>basi_ambientali_pianuraWIZ_U32WG_VS_SIT_BASI_ELELINIncisione a fondo piatto (meandri)</v>
      </c>
      <c r="K107">
        <f>_xlfn.XLOOKUP(Tabella1[[#This Row],[Concatenato]],'Original data'!D:D,'Original data'!E:E)</f>
        <v>18</v>
      </c>
      <c r="L107" t="s">
        <v>618</v>
      </c>
    </row>
    <row r="108" spans="2:12" x14ac:dyDescent="0.3">
      <c r="B108" s="5" t="s">
        <v>591</v>
      </c>
      <c r="C108" t="s">
        <v>92</v>
      </c>
      <c r="D108" t="s">
        <v>586</v>
      </c>
      <c r="E108" t="str">
        <f>IF(Tabella1[[#This Row],[Data type]]= "GEOMORPHOLOGICAL DATA", "G", "N")</f>
        <v>G</v>
      </c>
      <c r="F108" t="s">
        <v>633</v>
      </c>
      <c r="G108" t="s">
        <v>118</v>
      </c>
      <c r="H108" t="s">
        <v>546</v>
      </c>
      <c r="I108" t="s">
        <v>483</v>
      </c>
      <c r="J108" t="str">
        <f t="shared" si="1"/>
        <v>basi_ambientali_pianuraWIZ_U32WG_VS_SIT_BASI_ELELINIncisione a fondo piatto (braided)</v>
      </c>
      <c r="K108">
        <f>_xlfn.XLOOKUP(Tabella1[[#This Row],[Concatenato]],'Original data'!D:D,'Original data'!E:E)</f>
        <v>9</v>
      </c>
      <c r="L108" t="s">
        <v>618</v>
      </c>
    </row>
    <row r="109" spans="2:12" x14ac:dyDescent="0.3">
      <c r="B109" s="5" t="s">
        <v>591</v>
      </c>
      <c r="C109" t="s">
        <v>92</v>
      </c>
      <c r="D109" t="s">
        <v>586</v>
      </c>
      <c r="E109" t="str">
        <f>IF(Tabella1[[#This Row],[Data type]]= "GEOMORPHOLOGICAL DATA", "G", "N")</f>
        <v>G</v>
      </c>
      <c r="F109" t="s">
        <v>633</v>
      </c>
      <c r="G109" t="s">
        <v>119</v>
      </c>
      <c r="H109" t="s">
        <v>546</v>
      </c>
      <c r="I109" t="s">
        <v>483</v>
      </c>
      <c r="J109" t="str">
        <f t="shared" si="1"/>
        <v>basi_ambientali_pianuraWIZ_U32WG_VS_SIT_BASI_ELELINTratto alveo pensile</v>
      </c>
      <c r="K109">
        <f>_xlfn.XLOOKUP(Tabella1[[#This Row],[Concatenato]],'Original data'!D:D,'Original data'!E:E)</f>
        <v>2</v>
      </c>
      <c r="L109" t="s">
        <v>618</v>
      </c>
    </row>
    <row r="110" spans="2:12" x14ac:dyDescent="0.3">
      <c r="B110" s="5" t="s">
        <v>8</v>
      </c>
      <c r="C110" t="s">
        <v>45</v>
      </c>
      <c r="D110" t="s">
        <v>586</v>
      </c>
      <c r="E110" t="str">
        <f>IF(Tabella1[[#This Row],[Data type]]= "GEOMORPHOLOGICAL DATA", "G", "N")</f>
        <v>G</v>
      </c>
      <c r="F110" t="s">
        <v>633</v>
      </c>
      <c r="G110" t="s">
        <v>44</v>
      </c>
      <c r="H110" t="s">
        <v>546</v>
      </c>
      <c r="I110" t="s">
        <v>483</v>
      </c>
      <c r="J110" t="str">
        <f t="shared" si="1"/>
        <v>geoambientaliPA_GEO_WGStratto di alveo sovralluvionato</v>
      </c>
      <c r="K110">
        <f>_xlfn.XLOOKUP(Tabella1[[#This Row],[Concatenato]],'Original data'!D:D,'Original data'!E:E)</f>
        <v>268</v>
      </c>
      <c r="L110" t="s">
        <v>618</v>
      </c>
    </row>
    <row r="111" spans="2:12" x14ac:dyDescent="0.3">
      <c r="B111" s="5" t="s">
        <v>8</v>
      </c>
      <c r="C111" t="s">
        <v>45</v>
      </c>
      <c r="D111" t="s">
        <v>586</v>
      </c>
      <c r="E111" t="str">
        <f>IF(Tabella1[[#This Row],[Data type]]= "GEOMORPHOLOGICAL DATA", "G", "N")</f>
        <v>G</v>
      </c>
      <c r="F111" t="s">
        <v>633</v>
      </c>
      <c r="G111" t="s">
        <v>43</v>
      </c>
      <c r="H111" t="s">
        <v>43</v>
      </c>
      <c r="I111" t="s">
        <v>465</v>
      </c>
      <c r="J111" t="str">
        <f t="shared" si="1"/>
        <v>geoambientaliPA_GEO_WGSpiana alluvionale</v>
      </c>
      <c r="K111">
        <f>_xlfn.XLOOKUP(Tabella1[[#This Row],[Concatenato]],'Original data'!D:D,'Original data'!E:E)</f>
        <v>298</v>
      </c>
      <c r="L111" t="s">
        <v>614</v>
      </c>
    </row>
    <row r="112" spans="2:12" x14ac:dyDescent="0.3">
      <c r="B112" s="5" t="s">
        <v>591</v>
      </c>
      <c r="C112" t="s">
        <v>90</v>
      </c>
      <c r="D112" t="s">
        <v>586</v>
      </c>
      <c r="E112" t="str">
        <f>IF(Tabella1[[#This Row],[Data type]]= "GEOMORPHOLOGICAL DATA", "G", "N")</f>
        <v>G</v>
      </c>
      <c r="F112" t="s">
        <v>633</v>
      </c>
      <c r="G112" t="s">
        <v>91</v>
      </c>
      <c r="H112" t="s">
        <v>43</v>
      </c>
      <c r="I112" t="s">
        <v>465</v>
      </c>
      <c r="J112" t="str">
        <f t="shared" si="1"/>
        <v>basi_ambientali_pianuraWIZ_U32WG_VS_SIT_BASI_ELEESOpiana di esondazione</v>
      </c>
      <c r="K112">
        <f>_xlfn.XLOOKUP(Tabella1[[#This Row],[Concatenato]],'Original data'!D:D,'Original data'!E:E)</f>
        <v>33</v>
      </c>
      <c r="L112" t="s">
        <v>618</v>
      </c>
    </row>
    <row r="113" spans="2:12" x14ac:dyDescent="0.3">
      <c r="B113" s="5" t="s">
        <v>591</v>
      </c>
      <c r="C113" t="s">
        <v>137</v>
      </c>
      <c r="D113" t="s">
        <v>586</v>
      </c>
      <c r="E113" t="str">
        <f>IF(Tabella1[[#This Row],[Data type]]= "GEOMORPHOLOGICAL DATA", "G", "N")</f>
        <v>G</v>
      </c>
      <c r="F113" t="s">
        <v>633</v>
      </c>
      <c r="G113" t="s">
        <v>129</v>
      </c>
      <c r="H113" t="s">
        <v>43</v>
      </c>
      <c r="I113" t="s">
        <v>465</v>
      </c>
      <c r="J113" t="str">
        <f t="shared" si="1"/>
        <v>basi_ambientali_pianuraWIZ_U32WG_VS_SIT_BASI_SOTTOAMBPianure alluvionali attuali e recenti</v>
      </c>
      <c r="K113">
        <f>_xlfn.XLOOKUP(Tabella1[[#This Row],[Concatenato]],'Original data'!D:D,'Original data'!E:E)</f>
        <v>48</v>
      </c>
      <c r="L113" t="s">
        <v>618</v>
      </c>
    </row>
    <row r="114" spans="2:12" x14ac:dyDescent="0.3">
      <c r="B114" s="5" t="s">
        <v>591</v>
      </c>
      <c r="C114" t="s">
        <v>137</v>
      </c>
      <c r="D114" t="s">
        <v>586</v>
      </c>
      <c r="E114" t="str">
        <f>IF(Tabella1[[#This Row],[Data type]]= "GEOMORPHOLOGICAL DATA", "G", "N")</f>
        <v>G</v>
      </c>
      <c r="F114" t="s">
        <v>633</v>
      </c>
      <c r="G114" t="s">
        <v>121</v>
      </c>
      <c r="H114" t="s">
        <v>547</v>
      </c>
      <c r="I114" t="s">
        <v>491</v>
      </c>
      <c r="J114" t="str">
        <f t="shared" si="1"/>
        <v>basi_ambientali_pianuraWIZ_U32WG_VS_SIT_BASI_SOTTOAMBTerrazzi antichi</v>
      </c>
      <c r="K114">
        <f>_xlfn.XLOOKUP(Tabella1[[#This Row],[Concatenato]],'Original data'!D:D,'Original data'!E:E)</f>
        <v>75</v>
      </c>
      <c r="L114" t="s">
        <v>618</v>
      </c>
    </row>
    <row r="115" spans="2:12" x14ac:dyDescent="0.3">
      <c r="B115" s="5" t="s">
        <v>591</v>
      </c>
      <c r="C115" t="s">
        <v>137</v>
      </c>
      <c r="D115" t="s">
        <v>586</v>
      </c>
      <c r="E115" t="str">
        <f>IF(Tabella1[[#This Row],[Data type]]= "GEOMORPHOLOGICAL DATA", "G", "N")</f>
        <v>G</v>
      </c>
      <c r="F115" t="s">
        <v>633</v>
      </c>
      <c r="G115" t="s">
        <v>124</v>
      </c>
      <c r="H115" t="s">
        <v>547</v>
      </c>
      <c r="I115" t="s">
        <v>491</v>
      </c>
      <c r="J115" t="str">
        <f t="shared" si="1"/>
        <v>basi_ambientali_pianuraWIZ_U32WG_VS_SIT_BASI_SOTTOAMBTerrazzi fluviali</v>
      </c>
      <c r="K115">
        <f>_xlfn.XLOOKUP(Tabella1[[#This Row],[Concatenato]],'Original data'!D:D,'Original data'!E:E)</f>
        <v>273</v>
      </c>
      <c r="L115" t="s">
        <v>618</v>
      </c>
    </row>
    <row r="116" spans="2:12" x14ac:dyDescent="0.3">
      <c r="B116" s="5" t="s">
        <v>591</v>
      </c>
      <c r="C116" t="s">
        <v>137</v>
      </c>
      <c r="D116" t="s">
        <v>586</v>
      </c>
      <c r="E116" t="str">
        <f>IF(Tabella1[[#This Row],[Data type]]= "GEOMORPHOLOGICAL DATA", "G", "N")</f>
        <v>G</v>
      </c>
      <c r="F116" t="s">
        <v>633</v>
      </c>
      <c r="G116" t="s">
        <v>131</v>
      </c>
      <c r="H116" t="s">
        <v>547</v>
      </c>
      <c r="I116" t="s">
        <v>491</v>
      </c>
      <c r="J116" t="str">
        <f t="shared" si="1"/>
        <v>basi_ambientali_pianuraWIZ_U32WG_VS_SIT_BASI_SOTTOAMBTerrazzi intermedi</v>
      </c>
      <c r="K116">
        <f>_xlfn.XLOOKUP(Tabella1[[#This Row],[Concatenato]],'Original data'!D:D,'Original data'!E:E)</f>
        <v>57</v>
      </c>
      <c r="L116" t="s">
        <v>618</v>
      </c>
    </row>
    <row r="117" spans="2:12" x14ac:dyDescent="0.3">
      <c r="B117" s="5" t="s">
        <v>8</v>
      </c>
      <c r="C117" t="s">
        <v>14</v>
      </c>
      <c r="D117" t="s">
        <v>586</v>
      </c>
      <c r="E117" t="str">
        <f>IF(Tabella1[[#This Row],[Data type]]= "GEOMORPHOLOGICAL DATA", "G", "N")</f>
        <v>G</v>
      </c>
      <c r="F117" t="s">
        <v>633</v>
      </c>
      <c r="G117" t="s">
        <v>15</v>
      </c>
      <c r="H117" t="s">
        <v>548</v>
      </c>
      <c r="I117" t="s">
        <v>453</v>
      </c>
      <c r="J117" t="str">
        <f t="shared" si="1"/>
        <v>geoambientaliCO_GEO_WGSconoide di deiezione</v>
      </c>
      <c r="K117">
        <f>_xlfn.XLOOKUP(Tabella1[[#This Row],[Concatenato]],'Original data'!D:D,'Original data'!E:E)</f>
        <v>3102</v>
      </c>
      <c r="L117" t="s">
        <v>618</v>
      </c>
    </row>
    <row r="118" spans="2:12" x14ac:dyDescent="0.3">
      <c r="B118" s="3" t="s">
        <v>594</v>
      </c>
      <c r="C118" t="s">
        <v>333</v>
      </c>
      <c r="D118" t="s">
        <v>586</v>
      </c>
      <c r="E118" t="str">
        <f>IF(Tabella1[[#This Row],[Data type]]= "GEOMORPHOLOGICAL DATA", "G", "N")</f>
        <v>G</v>
      </c>
      <c r="F118" t="s">
        <v>633</v>
      </c>
      <c r="G118" s="2" t="s">
        <v>505</v>
      </c>
      <c r="H118" s="8" t="s">
        <v>549</v>
      </c>
      <c r="I118" t="s">
        <v>515</v>
      </c>
      <c r="J118" t="str">
        <f t="shared" si="1"/>
        <v>dissesti_IFFIfr_po5 (colamento rapido)</v>
      </c>
      <c r="K118">
        <f>_xlfn.XLOOKUP(Tabella1[[#This Row],[Concatenato]],'Original data'!D:D,'Original data'!E:E)</f>
        <v>7826</v>
      </c>
      <c r="L118" t="s">
        <v>617</v>
      </c>
    </row>
    <row r="119" spans="2:12" x14ac:dyDescent="0.3">
      <c r="B119" s="3" t="s">
        <v>594</v>
      </c>
      <c r="C119" t="s">
        <v>331</v>
      </c>
      <c r="D119" t="s">
        <v>586</v>
      </c>
      <c r="E119" t="str">
        <f>IF(Tabella1[[#This Row],[Data type]]= "GEOMORPHOLOGICAL DATA", "G", "N")</f>
        <v>G</v>
      </c>
      <c r="F119" t="s">
        <v>633</v>
      </c>
      <c r="G119" s="2" t="s">
        <v>514</v>
      </c>
      <c r="H119" s="8" t="s">
        <v>549</v>
      </c>
      <c r="I119" t="s">
        <v>515</v>
      </c>
      <c r="J119" t="str">
        <f t="shared" si="1"/>
        <v>dissesti_IFFIfr_iffi99 (conoide misto)</v>
      </c>
      <c r="K119">
        <f>_xlfn.XLOOKUP(Tabella1[[#This Row],[Concatenato]],'Original data'!D:D,'Original data'!E:E)</f>
        <v>2668</v>
      </c>
      <c r="L119" t="s">
        <v>617</v>
      </c>
    </row>
    <row r="120" spans="2:12" x14ac:dyDescent="0.3">
      <c r="B120" s="3" t="s">
        <v>594</v>
      </c>
      <c r="C120" t="s">
        <v>329</v>
      </c>
      <c r="D120" t="s">
        <v>586</v>
      </c>
      <c r="E120" t="str">
        <f>IF(Tabella1[[#This Row],[Data type]]= "GEOMORPHOLOGICAL DATA", "G", "N")</f>
        <v>G</v>
      </c>
      <c r="F120" t="s">
        <v>633</v>
      </c>
      <c r="G120" s="2" t="s">
        <v>514</v>
      </c>
      <c r="H120" s="8" t="s">
        <v>549</v>
      </c>
      <c r="I120" t="s">
        <v>515</v>
      </c>
      <c r="J120" t="str">
        <f t="shared" si="1"/>
        <v>dissesti_IFFIfr_co99 (conoide misto)</v>
      </c>
      <c r="K120">
        <f>_xlfn.XLOOKUP(Tabella1[[#This Row],[Concatenato]],'Original data'!D:D,'Original data'!E:E)</f>
        <v>2667</v>
      </c>
      <c r="L120" t="s">
        <v>617</v>
      </c>
    </row>
    <row r="121" spans="2:12" x14ac:dyDescent="0.3">
      <c r="B121" s="5" t="s">
        <v>591</v>
      </c>
      <c r="C121" t="s">
        <v>92</v>
      </c>
      <c r="D121" t="s">
        <v>586</v>
      </c>
      <c r="E121" t="str">
        <f>IF(Tabella1[[#This Row],[Data type]]= "GEOMORPHOLOGICAL DATA", "G", "N")</f>
        <v>G</v>
      </c>
      <c r="F121" t="s">
        <v>633</v>
      </c>
      <c r="G121" t="s">
        <v>110</v>
      </c>
      <c r="H121" t="s">
        <v>550</v>
      </c>
      <c r="I121" t="s">
        <v>488</v>
      </c>
      <c r="J121" t="str">
        <f t="shared" si="1"/>
        <v>basi_ambientali_pianuraWIZ_U32WG_VS_SIT_BASI_ELELINDossi fluviali</v>
      </c>
      <c r="K121">
        <f>_xlfn.XLOOKUP(Tabella1[[#This Row],[Concatenato]],'Original data'!D:D,'Original data'!E:E)</f>
        <v>472</v>
      </c>
      <c r="L121" t="s">
        <v>618</v>
      </c>
    </row>
    <row r="122" spans="2:12" x14ac:dyDescent="0.3">
      <c r="B122" s="5" t="s">
        <v>591</v>
      </c>
      <c r="C122" t="s">
        <v>87</v>
      </c>
      <c r="D122" t="s">
        <v>586</v>
      </c>
      <c r="E122" t="str">
        <f>IF(Tabella1[[#This Row],[Data type]]= "GEOMORPHOLOGICAL DATA", "G", "N")</f>
        <v>G</v>
      </c>
      <c r="F122" t="s">
        <v>633</v>
      </c>
      <c r="G122" t="s">
        <v>86</v>
      </c>
      <c r="H122" t="s">
        <v>551</v>
      </c>
      <c r="I122" t="s">
        <v>480</v>
      </c>
      <c r="J122" t="str">
        <f t="shared" si="1"/>
        <v>basi_ambientali_pianuraFASCIA_DIVAGAZIONE_FLUVIALE_1880_1950fascia di divagazione fluviale 1880-1950</v>
      </c>
      <c r="K122">
        <f>_xlfn.XLOOKUP(Tabella1[[#This Row],[Concatenato]],'Original data'!D:D,'Original data'!E:E)</f>
        <v>696</v>
      </c>
      <c r="L122" t="s">
        <v>618</v>
      </c>
    </row>
    <row r="123" spans="2:12" x14ac:dyDescent="0.3">
      <c r="B123" s="5" t="s">
        <v>591</v>
      </c>
      <c r="C123" t="s">
        <v>92</v>
      </c>
      <c r="D123" t="s">
        <v>586</v>
      </c>
      <c r="E123" t="str">
        <f>IF(Tabella1[[#This Row],[Data type]]= "GEOMORPHOLOGICAL DATA", "G", "N")</f>
        <v>G</v>
      </c>
      <c r="F123" t="s">
        <v>638</v>
      </c>
      <c r="G123" t="s">
        <v>100</v>
      </c>
      <c r="H123" t="s">
        <v>554</v>
      </c>
      <c r="I123" t="s">
        <v>482</v>
      </c>
      <c r="J123" t="str">
        <f t="shared" si="1"/>
        <v>basi_ambientali_pianuraWIZ_U32WG_VS_SIT_BASI_ELELINcresta rocciosa</v>
      </c>
      <c r="K123">
        <f>_xlfn.XLOOKUP(Tabella1[[#This Row],[Concatenato]],'Original data'!D:D,'Original data'!E:E)</f>
        <v>70</v>
      </c>
      <c r="L123" t="s">
        <v>623</v>
      </c>
    </row>
    <row r="124" spans="2:12" x14ac:dyDescent="0.3">
      <c r="B124" s="5" t="s">
        <v>8</v>
      </c>
      <c r="C124" t="s">
        <v>78</v>
      </c>
      <c r="D124" t="s">
        <v>586</v>
      </c>
      <c r="E124" t="str">
        <f>IF(Tabella1[[#This Row],[Data type]]= "GEOMORPHOLOGICAL DATA", "G", "N")</f>
        <v>G</v>
      </c>
      <c r="F124" t="s">
        <v>638</v>
      </c>
      <c r="G124" t="s">
        <v>84</v>
      </c>
      <c r="H124" t="s">
        <v>555</v>
      </c>
      <c r="I124" t="s">
        <v>479</v>
      </c>
      <c r="J124" t="str">
        <f t="shared" si="1"/>
        <v>geoambientaliOS_GEP_WGSorlo di scarpata di erosione glaciale</v>
      </c>
      <c r="K124">
        <f>_xlfn.XLOOKUP(Tabella1[[#This Row],[Concatenato]],'Original data'!D:D,'Original data'!E:E)</f>
        <v>1536</v>
      </c>
      <c r="L124" t="s">
        <v>618</v>
      </c>
    </row>
    <row r="125" spans="2:12" x14ac:dyDescent="0.3">
      <c r="B125" s="5" t="s">
        <v>8</v>
      </c>
      <c r="C125" t="s">
        <v>11</v>
      </c>
      <c r="D125" t="s">
        <v>586</v>
      </c>
      <c r="E125" t="str">
        <f>IF(Tabella1[[#This Row],[Data type]]= "GEOMORPHOLOGICAL DATA", "G", "N")</f>
        <v>G</v>
      </c>
      <c r="F125" t="s">
        <v>638</v>
      </c>
      <c r="G125" t="s">
        <v>0</v>
      </c>
      <c r="H125" t="s">
        <v>556</v>
      </c>
      <c r="I125" t="s">
        <v>447</v>
      </c>
      <c r="J125" t="str">
        <f t="shared" si="1"/>
        <v>geoambientaliAG_GEO_WGSsuperficie rocciosa ondulata da modellamento glaciale</v>
      </c>
      <c r="K125">
        <f>_xlfn.XLOOKUP(Tabella1[[#This Row],[Concatenato]],'Original data'!D:D,'Original data'!E:E)</f>
        <v>747</v>
      </c>
      <c r="L125" t="s">
        <v>618</v>
      </c>
    </row>
    <row r="126" spans="2:12" x14ac:dyDescent="0.3">
      <c r="B126" s="5" t="s">
        <v>8</v>
      </c>
      <c r="C126" t="s">
        <v>46</v>
      </c>
      <c r="D126" t="s">
        <v>586</v>
      </c>
      <c r="E126" t="str">
        <f>IF(Tabella1[[#This Row],[Data type]]= "GEOMORPHOLOGICAL DATA", "G", "N")</f>
        <v>G</v>
      </c>
      <c r="F126" t="s">
        <v>638</v>
      </c>
      <c r="G126" t="s">
        <v>47</v>
      </c>
      <c r="H126" t="s">
        <v>557</v>
      </c>
      <c r="I126" t="s">
        <v>466</v>
      </c>
      <c r="J126" t="str">
        <f t="shared" si="1"/>
        <v>geoambientaliPG_GEO_WGSrocce montonate</v>
      </c>
      <c r="K126">
        <f>_xlfn.XLOOKUP(Tabella1[[#This Row],[Concatenato]],'Original data'!D:D,'Original data'!E:E)</f>
        <v>296</v>
      </c>
      <c r="L126" t="s">
        <v>617</v>
      </c>
    </row>
    <row r="127" spans="2:12" x14ac:dyDescent="0.3">
      <c r="B127" s="5" t="s">
        <v>591</v>
      </c>
      <c r="C127" t="s">
        <v>92</v>
      </c>
      <c r="D127" t="s">
        <v>586</v>
      </c>
      <c r="E127" t="str">
        <f>IF(Tabella1[[#This Row],[Data type]]= "GEOMORPHOLOGICAL DATA", "G", "N")</f>
        <v>G</v>
      </c>
      <c r="F127" t="s">
        <v>638</v>
      </c>
      <c r="G127" t="s">
        <v>94</v>
      </c>
      <c r="H127" t="s">
        <v>558</v>
      </c>
      <c r="I127" t="s">
        <v>481</v>
      </c>
      <c r="J127" t="str">
        <f t="shared" si="1"/>
        <v>basi_ambientali_pianuraWIZ_U32WG_VS_SIT_BASI_ELELINarco o cordone morenico</v>
      </c>
      <c r="K127">
        <f>_xlfn.XLOOKUP(Tabella1[[#This Row],[Concatenato]],'Original data'!D:D,'Original data'!E:E)</f>
        <v>585</v>
      </c>
      <c r="L127" t="s">
        <v>618</v>
      </c>
    </row>
    <row r="128" spans="2:12" x14ac:dyDescent="0.3">
      <c r="B128" s="5" t="s">
        <v>8</v>
      </c>
      <c r="C128" t="s">
        <v>16</v>
      </c>
      <c r="D128" t="s">
        <v>586</v>
      </c>
      <c r="E128" t="str">
        <f>IF(Tabella1[[#This Row],[Data type]]= "GEOMORPHOLOGICAL DATA", "G", "N")</f>
        <v>G</v>
      </c>
      <c r="F128" t="s">
        <v>638</v>
      </c>
      <c r="G128" t="s">
        <v>20</v>
      </c>
      <c r="H128" t="s">
        <v>559</v>
      </c>
      <c r="I128" t="s">
        <v>454</v>
      </c>
      <c r="J128" t="str">
        <f t="shared" si="1"/>
        <v>geoambientaliDS_GEO_WGScordone morenico</v>
      </c>
      <c r="K128">
        <f>_xlfn.XLOOKUP(Tabella1[[#This Row],[Concatenato]],'Original data'!D:D,'Original data'!E:E)</f>
        <v>6615</v>
      </c>
      <c r="L128" t="s">
        <v>618</v>
      </c>
    </row>
    <row r="129" spans="2:12" x14ac:dyDescent="0.3">
      <c r="B129" s="5" t="s">
        <v>591</v>
      </c>
      <c r="C129" t="s">
        <v>137</v>
      </c>
      <c r="D129" t="s">
        <v>586</v>
      </c>
      <c r="E129" t="str">
        <f>IF(Tabella1[[#This Row],[Data type]]= "GEOMORPHOLOGICAL DATA", "G", "N")</f>
        <v>G</v>
      </c>
      <c r="F129" t="s">
        <v>638</v>
      </c>
      <c r="G129" t="s">
        <v>127</v>
      </c>
      <c r="H129" t="s">
        <v>559</v>
      </c>
      <c r="I129" t="s">
        <v>454</v>
      </c>
      <c r="J129" t="str">
        <f t="shared" si="1"/>
        <v>basi_ambientali_pianuraWIZ_U32WG_VS_SIT_BASI_SOTTOAMBCordoni morenici antichi</v>
      </c>
      <c r="K129">
        <f>_xlfn.XLOOKUP(Tabella1[[#This Row],[Concatenato]],'Original data'!D:D,'Original data'!E:E)</f>
        <v>33</v>
      </c>
      <c r="L129" t="s">
        <v>618</v>
      </c>
    </row>
    <row r="130" spans="2:12" x14ac:dyDescent="0.3">
      <c r="B130" s="5" t="s">
        <v>591</v>
      </c>
      <c r="C130" t="s">
        <v>137</v>
      </c>
      <c r="D130" t="s">
        <v>586</v>
      </c>
      <c r="E130" t="str">
        <f>IF(Tabella1[[#This Row],[Data type]]= "GEOMORPHOLOGICAL DATA", "G", "N")</f>
        <v>G</v>
      </c>
      <c r="F130" t="s">
        <v>638</v>
      </c>
      <c r="G130" t="s">
        <v>126</v>
      </c>
      <c r="H130" t="s">
        <v>559</v>
      </c>
      <c r="I130" t="s">
        <v>454</v>
      </c>
      <c r="J130" t="str">
        <f t="shared" ref="J130:J193" si="2">_xlfn.CONCAT(B130,C130,G130)</f>
        <v>basi_ambientali_pianuraWIZ_U32WG_VS_SIT_BASI_SOTTOAMBCordoni morenici intermedi</v>
      </c>
      <c r="K130">
        <f>_xlfn.XLOOKUP(Tabella1[[#This Row],[Concatenato]],'Original data'!D:D,'Original data'!E:E)</f>
        <v>48</v>
      </c>
      <c r="L130" t="s">
        <v>618</v>
      </c>
    </row>
    <row r="131" spans="2:12" x14ac:dyDescent="0.3">
      <c r="B131" s="5" t="s">
        <v>591</v>
      </c>
      <c r="C131" t="s">
        <v>137</v>
      </c>
      <c r="D131" t="s">
        <v>586</v>
      </c>
      <c r="E131" t="str">
        <f>IF(Tabella1[[#This Row],[Data type]]= "GEOMORPHOLOGICAL DATA", "G", "N")</f>
        <v>G</v>
      </c>
      <c r="F131" t="s">
        <v>638</v>
      </c>
      <c r="G131" t="s">
        <v>128</v>
      </c>
      <c r="H131" t="s">
        <v>559</v>
      </c>
      <c r="I131" t="s">
        <v>454</v>
      </c>
      <c r="J131" t="str">
        <f t="shared" si="2"/>
        <v>basi_ambientali_pianuraWIZ_U32WG_VS_SIT_BASI_SOTTOAMBCordoni morenici recenti</v>
      </c>
      <c r="K131">
        <f>_xlfn.XLOOKUP(Tabella1[[#This Row],[Concatenato]],'Original data'!D:D,'Original data'!E:E)</f>
        <v>94</v>
      </c>
      <c r="L131" t="s">
        <v>618</v>
      </c>
    </row>
    <row r="132" spans="2:12" x14ac:dyDescent="0.3">
      <c r="B132" s="5" t="s">
        <v>8</v>
      </c>
      <c r="C132" t="s">
        <v>46</v>
      </c>
      <c r="D132" t="s">
        <v>586</v>
      </c>
      <c r="E132" t="str">
        <f>IF(Tabella1[[#This Row],[Data type]]= "GEOMORPHOLOGICAL DATA", "G", "N")</f>
        <v>G</v>
      </c>
      <c r="F132" t="s">
        <v>638</v>
      </c>
      <c r="G132" t="s">
        <v>49</v>
      </c>
      <c r="H132" t="s">
        <v>560</v>
      </c>
      <c r="I132" t="s">
        <v>467</v>
      </c>
      <c r="J132" t="str">
        <f t="shared" si="2"/>
        <v>geoambientaliPG_GEO_WGSmassi erratici</v>
      </c>
      <c r="K132">
        <f>_xlfn.XLOOKUP(Tabella1[[#This Row],[Concatenato]],'Original data'!D:D,'Original data'!E:E)</f>
        <v>130</v>
      </c>
      <c r="L132" t="s">
        <v>618</v>
      </c>
    </row>
    <row r="133" spans="2:12" x14ac:dyDescent="0.3">
      <c r="B133" s="5" t="s">
        <v>595</v>
      </c>
      <c r="C133" t="s">
        <v>262</v>
      </c>
      <c r="D133" t="s">
        <v>586</v>
      </c>
      <c r="E133" t="str">
        <f>IF(Tabella1[[#This Row],[Data type]]= "GEOMORPHOLOGICAL DATA", "G", "N")</f>
        <v>G</v>
      </c>
      <c r="F133" t="s">
        <v>642</v>
      </c>
      <c r="G133" t="s">
        <v>290</v>
      </c>
      <c r="H133" t="s">
        <v>552</v>
      </c>
      <c r="I133" t="s">
        <v>516</v>
      </c>
      <c r="J133" t="str">
        <f t="shared" si="2"/>
        <v>DUSAFWIZ_U32WG_VS_DUSAF4ghiacciai e nevi perenni</v>
      </c>
      <c r="K133">
        <f>_xlfn.XLOOKUP(Tabella1[[#This Row],[Concatenato]],'Original data'!D:D,'Original data'!E:E)</f>
        <v>381</v>
      </c>
      <c r="L133" t="s">
        <v>618</v>
      </c>
    </row>
    <row r="134" spans="2:12" x14ac:dyDescent="0.3">
      <c r="B134" s="5" t="s">
        <v>593</v>
      </c>
      <c r="C134" t="s">
        <v>146</v>
      </c>
      <c r="D134" t="s">
        <v>586</v>
      </c>
      <c r="E134" t="str">
        <f>IF(Tabella1[[#This Row],[Data type]]= "GEOMORPHOLOGICAL DATA", "G", "N")</f>
        <v>G</v>
      </c>
      <c r="F134" t="s">
        <v>642</v>
      </c>
      <c r="G134" t="s">
        <v>147</v>
      </c>
      <c r="H134" t="s">
        <v>552</v>
      </c>
      <c r="I134" t="s">
        <v>516</v>
      </c>
      <c r="J134" t="str">
        <f t="shared" si="2"/>
        <v>altri_datiVS_GHIACCIAI_2007ghiacciaio</v>
      </c>
      <c r="K134">
        <f>_xlfn.XLOOKUP(Tabella1[[#This Row],[Concatenato]],'Original data'!D:D,'Original data'!E:E)</f>
        <v>308</v>
      </c>
      <c r="L134" t="s">
        <v>618</v>
      </c>
    </row>
    <row r="135" spans="2:12" x14ac:dyDescent="0.3">
      <c r="B135" s="5" t="s">
        <v>8</v>
      </c>
      <c r="C135" t="s">
        <v>46</v>
      </c>
      <c r="D135" t="s">
        <v>586</v>
      </c>
      <c r="E135" t="str">
        <f>IF(Tabella1[[#This Row],[Data type]]= "GEOMORPHOLOGICAL DATA", "G", "N")</f>
        <v>G</v>
      </c>
      <c r="F135" t="s">
        <v>642</v>
      </c>
      <c r="G135" t="s">
        <v>56</v>
      </c>
      <c r="H135" t="s">
        <v>553</v>
      </c>
      <c r="I135" t="s">
        <v>474</v>
      </c>
      <c r="J135" t="str">
        <f t="shared" si="2"/>
        <v>geoambientaliPG_GEO_WGSinghiottitoio</v>
      </c>
      <c r="K135">
        <f>_xlfn.XLOOKUP(Tabella1[[#This Row],[Concatenato]],'Original data'!D:D,'Original data'!E:E)</f>
        <v>31</v>
      </c>
      <c r="L135" t="s">
        <v>614</v>
      </c>
    </row>
    <row r="136" spans="2:12" x14ac:dyDescent="0.3">
      <c r="B136" s="3" t="s">
        <v>594</v>
      </c>
      <c r="C136" t="s">
        <v>332</v>
      </c>
      <c r="D136" t="s">
        <v>586</v>
      </c>
      <c r="E136" t="str">
        <f>IF(Tabella1[[#This Row],[Data type]]= "GEOMORPHOLOGICAL DATA", "G", "N")</f>
        <v>G</v>
      </c>
      <c r="F136" t="s">
        <v>636</v>
      </c>
      <c r="G136" s="2" t="s">
        <v>498</v>
      </c>
      <c r="H136" s="2" t="s">
        <v>619</v>
      </c>
      <c r="I136" t="s">
        <v>476</v>
      </c>
      <c r="J136" t="str">
        <f t="shared" si="2"/>
        <v>dissesti_IFFIfr_li2 (scivolamento rotazionale traslativo)</v>
      </c>
      <c r="K136">
        <f>_xlfn.XLOOKUP(Tabella1[[#This Row],[Concatenato]],'Original data'!D:D,'Original data'!E:E)</f>
        <v>1</v>
      </c>
      <c r="L136" t="s">
        <v>617</v>
      </c>
    </row>
    <row r="137" spans="2:12" x14ac:dyDescent="0.3">
      <c r="B137" s="5" t="s">
        <v>8</v>
      </c>
      <c r="C137" t="s">
        <v>35</v>
      </c>
      <c r="D137" t="s">
        <v>586</v>
      </c>
      <c r="E137" t="str">
        <f>IF(Tabella1[[#This Row],[Data type]]= "GEOMORPHOLOGICAL DATA", "G", "N")</f>
        <v>G</v>
      </c>
      <c r="F137" t="s">
        <v>636</v>
      </c>
      <c r="G137" t="s">
        <v>34</v>
      </c>
      <c r="H137" t="s">
        <v>561</v>
      </c>
      <c r="I137" t="s">
        <v>462</v>
      </c>
      <c r="J137" t="str">
        <f t="shared" si="2"/>
        <v>geoambientaliGD_GEO_WGScontropendenze</v>
      </c>
      <c r="K137">
        <f>_xlfn.XLOOKUP(Tabella1[[#This Row],[Concatenato]],'Original data'!D:D,'Original data'!E:E)</f>
        <v>2841</v>
      </c>
      <c r="L137" t="s">
        <v>622</v>
      </c>
    </row>
    <row r="138" spans="2:12" x14ac:dyDescent="0.3">
      <c r="B138" s="3" t="s">
        <v>594</v>
      </c>
      <c r="C138" t="s">
        <v>332</v>
      </c>
      <c r="D138" t="s">
        <v>586</v>
      </c>
      <c r="E138" t="str">
        <f>IF(Tabella1[[#This Row],[Data type]]= "GEOMORPHOLOGICAL DATA", "G", "N")</f>
        <v>G</v>
      </c>
      <c r="F138" t="s">
        <v>636</v>
      </c>
      <c r="G138" s="2" t="s">
        <v>505</v>
      </c>
      <c r="H138" s="8" t="s">
        <v>612</v>
      </c>
      <c r="I138" t="s">
        <v>611</v>
      </c>
      <c r="J138" t="str">
        <f t="shared" si="2"/>
        <v>dissesti_IFFIfr_li5 (colamento rapido)</v>
      </c>
      <c r="K138">
        <f>_xlfn.XLOOKUP(Tabella1[[#This Row],[Concatenato]],'Original data'!D:D,'Original data'!E:E)</f>
        <v>54780</v>
      </c>
      <c r="L138" t="s">
        <v>617</v>
      </c>
    </row>
    <row r="139" spans="2:12" x14ac:dyDescent="0.3">
      <c r="B139" s="5" t="s">
        <v>8</v>
      </c>
      <c r="C139" t="s">
        <v>35</v>
      </c>
      <c r="D139" t="s">
        <v>586</v>
      </c>
      <c r="E139" t="str">
        <f>IF(Tabella1[[#This Row],[Data type]]= "GEOMORPHOLOGICAL DATA", "G", "N")</f>
        <v>G</v>
      </c>
      <c r="F139" t="s">
        <v>636</v>
      </c>
      <c r="G139" t="s">
        <v>32</v>
      </c>
      <c r="H139" t="s">
        <v>562</v>
      </c>
      <c r="I139" t="s">
        <v>460</v>
      </c>
      <c r="J139" t="str">
        <f t="shared" si="2"/>
        <v>geoambientaliGD_GEO_WGScrolli</v>
      </c>
      <c r="K139">
        <f>_xlfn.XLOOKUP(Tabella1[[#This Row],[Concatenato]],'Original data'!D:D,'Original data'!E:E)</f>
        <v>11488</v>
      </c>
      <c r="L139" t="s">
        <v>618</v>
      </c>
    </row>
    <row r="140" spans="2:12" x14ac:dyDescent="0.3">
      <c r="B140" s="3" t="s">
        <v>594</v>
      </c>
      <c r="C140" t="s">
        <v>331</v>
      </c>
      <c r="D140" t="s">
        <v>586</v>
      </c>
      <c r="E140" t="str">
        <f>IF(Tabella1[[#This Row],[Data type]]= "GEOMORPHOLOGICAL DATA", "G", "N")</f>
        <v>G</v>
      </c>
      <c r="F140" t="s">
        <v>636</v>
      </c>
      <c r="G140" s="2" t="s">
        <v>511</v>
      </c>
      <c r="H140" t="s">
        <v>562</v>
      </c>
      <c r="I140" t="s">
        <v>460</v>
      </c>
      <c r="J140" t="str">
        <f t="shared" si="2"/>
        <v>dissesti_IFFIfr_iffi9 (aree soggette a crolli e ribaltamenti diffusi)</v>
      </c>
      <c r="K140">
        <f>_xlfn.XLOOKUP(Tabella1[[#This Row],[Concatenato]],'Original data'!D:D,'Original data'!E:E)</f>
        <v>42221</v>
      </c>
      <c r="L140" t="s">
        <v>617</v>
      </c>
    </row>
    <row r="141" spans="2:12" x14ac:dyDescent="0.3">
      <c r="B141" s="3" t="s">
        <v>594</v>
      </c>
      <c r="C141" t="s">
        <v>328</v>
      </c>
      <c r="D141" t="s">
        <v>586</v>
      </c>
      <c r="E141" t="str">
        <f>IF(Tabella1[[#This Row],[Data type]]= "GEOMORPHOLOGICAL DATA", "G", "N")</f>
        <v>G</v>
      </c>
      <c r="F141" t="s">
        <v>636</v>
      </c>
      <c r="G141" s="2" t="s">
        <v>511</v>
      </c>
      <c r="H141" t="s">
        <v>562</v>
      </c>
      <c r="I141" t="s">
        <v>460</v>
      </c>
      <c r="J141" t="str">
        <f t="shared" si="2"/>
        <v>dissesti_IFFIfr_aree9 (aree soggette a crolli e ribaltamenti diffusi)</v>
      </c>
      <c r="K141">
        <f>_xlfn.XLOOKUP(Tabella1[[#This Row],[Concatenato]],'Original data'!D:D,'Original data'!E:E)</f>
        <v>42219</v>
      </c>
      <c r="L141" t="s">
        <v>617</v>
      </c>
    </row>
    <row r="142" spans="2:12" x14ac:dyDescent="0.3">
      <c r="B142" s="3" t="s">
        <v>594</v>
      </c>
      <c r="C142" t="s">
        <v>333</v>
      </c>
      <c r="D142" t="s">
        <v>586</v>
      </c>
      <c r="E142" t="str">
        <f>IF(Tabella1[[#This Row],[Data type]]= "GEOMORPHOLOGICAL DATA", "G", "N")</f>
        <v>G</v>
      </c>
      <c r="F142" t="s">
        <v>636</v>
      </c>
      <c r="G142" s="2" t="s">
        <v>511</v>
      </c>
      <c r="H142" t="s">
        <v>562</v>
      </c>
      <c r="I142" t="s">
        <v>460</v>
      </c>
      <c r="J142" t="str">
        <f t="shared" si="2"/>
        <v>dissesti_IFFIfr_po9 (aree soggette a crolli e ribaltamenti diffusi)</v>
      </c>
      <c r="K142">
        <f>_xlfn.XLOOKUP(Tabella1[[#This Row],[Concatenato]],'Original data'!D:D,'Original data'!E:E)</f>
        <v>1</v>
      </c>
      <c r="L142" t="s">
        <v>617</v>
      </c>
    </row>
    <row r="143" spans="2:12" x14ac:dyDescent="0.3">
      <c r="B143" s="3" t="s">
        <v>594</v>
      </c>
      <c r="C143" t="s">
        <v>332</v>
      </c>
      <c r="D143" t="s">
        <v>586</v>
      </c>
      <c r="E143" t="str">
        <f>IF(Tabella1[[#This Row],[Data type]]= "GEOMORPHOLOGICAL DATA", "G", "N")</f>
        <v>G</v>
      </c>
      <c r="F143" t="s">
        <v>636</v>
      </c>
      <c r="G143" s="2" t="s">
        <v>497</v>
      </c>
      <c r="H143" s="2" t="s">
        <v>620</v>
      </c>
      <c r="I143" t="s">
        <v>621</v>
      </c>
      <c r="J143" t="str">
        <f t="shared" si="2"/>
        <v>dissesti_IFFIfr_li1 (crollo ribaltamento)</v>
      </c>
      <c r="K143">
        <f>_xlfn.XLOOKUP(Tabella1[[#This Row],[Concatenato]],'Original data'!D:D,'Original data'!E:E)</f>
        <v>3</v>
      </c>
      <c r="L143" t="s">
        <v>617</v>
      </c>
    </row>
    <row r="144" spans="2:12" x14ac:dyDescent="0.3">
      <c r="B144" s="3" t="s">
        <v>594</v>
      </c>
      <c r="C144" t="s">
        <v>333</v>
      </c>
      <c r="D144" t="s">
        <v>586</v>
      </c>
      <c r="E144" t="str">
        <f>IF(Tabella1[[#This Row],[Data type]]= "GEOMORPHOLOGICAL DATA", "G", "N")</f>
        <v>G</v>
      </c>
      <c r="F144" t="s">
        <v>636</v>
      </c>
      <c r="G144" s="2" t="s">
        <v>498</v>
      </c>
      <c r="H144" s="2" t="s">
        <v>563</v>
      </c>
      <c r="I144" t="s">
        <v>499</v>
      </c>
      <c r="J144" t="str">
        <f t="shared" si="2"/>
        <v>dissesti_IFFIfr_po2 (scivolamento rotazionale traslativo)</v>
      </c>
      <c r="K144">
        <f>_xlfn.XLOOKUP(Tabella1[[#This Row],[Concatenato]],'Original data'!D:D,'Original data'!E:E)</f>
        <v>28088</v>
      </c>
      <c r="L144" t="s">
        <v>617</v>
      </c>
    </row>
    <row r="145" spans="2:12" x14ac:dyDescent="0.3">
      <c r="B145" s="3" t="s">
        <v>594</v>
      </c>
      <c r="C145" t="s">
        <v>331</v>
      </c>
      <c r="D145" t="s">
        <v>586</v>
      </c>
      <c r="E145" t="str">
        <f>IF(Tabella1[[#This Row],[Data type]]= "GEOMORPHOLOGICAL DATA", "G", "N")</f>
        <v>G</v>
      </c>
      <c r="F145" t="s">
        <v>636</v>
      </c>
      <c r="G145" s="2" t="s">
        <v>498</v>
      </c>
      <c r="H145" s="2" t="s">
        <v>563</v>
      </c>
      <c r="I145" t="s">
        <v>499</v>
      </c>
      <c r="J145" t="str">
        <f t="shared" si="2"/>
        <v>dissesti_IFFIfr_iffi2 (scivolamento rotazionale traslativo)</v>
      </c>
      <c r="K145">
        <f>_xlfn.XLOOKUP(Tabella1[[#This Row],[Concatenato]],'Original data'!D:D,'Original data'!E:E)</f>
        <v>21541</v>
      </c>
      <c r="L145" t="s">
        <v>617</v>
      </c>
    </row>
    <row r="146" spans="2:12" x14ac:dyDescent="0.3">
      <c r="B146" s="3" t="s">
        <v>594</v>
      </c>
      <c r="C146" t="s">
        <v>331</v>
      </c>
      <c r="D146" t="s">
        <v>586</v>
      </c>
      <c r="E146" t="str">
        <f>IF(Tabella1[[#This Row],[Data type]]= "GEOMORPHOLOGICAL DATA", "G", "N")</f>
        <v>G</v>
      </c>
      <c r="F146" t="s">
        <v>636</v>
      </c>
      <c r="G146" s="2" t="s">
        <v>503</v>
      </c>
      <c r="H146" s="2" t="s">
        <v>564</v>
      </c>
      <c r="I146" t="s">
        <v>504</v>
      </c>
      <c r="J146" t="str">
        <f t="shared" si="2"/>
        <v>dissesti_IFFIfr_iffi4 (colamento lento)</v>
      </c>
      <c r="K146">
        <f>_xlfn.XLOOKUP(Tabella1[[#This Row],[Concatenato]],'Original data'!D:D,'Original data'!E:E)</f>
        <v>1568</v>
      </c>
      <c r="L146" t="s">
        <v>617</v>
      </c>
    </row>
    <row r="147" spans="2:12" x14ac:dyDescent="0.3">
      <c r="B147" s="3" t="s">
        <v>594</v>
      </c>
      <c r="C147" t="s">
        <v>333</v>
      </c>
      <c r="D147" t="s">
        <v>586</v>
      </c>
      <c r="E147" t="str">
        <f>IF(Tabella1[[#This Row],[Data type]]= "GEOMORPHOLOGICAL DATA", "G", "N")</f>
        <v>G</v>
      </c>
      <c r="F147" t="s">
        <v>636</v>
      </c>
      <c r="G147" s="2" t="s">
        <v>503</v>
      </c>
      <c r="H147" s="2" t="s">
        <v>564</v>
      </c>
      <c r="I147" t="s">
        <v>504</v>
      </c>
      <c r="J147" t="str">
        <f t="shared" si="2"/>
        <v>dissesti_IFFIfr_po4 (colamento lento)</v>
      </c>
      <c r="K147">
        <f>_xlfn.XLOOKUP(Tabella1[[#This Row],[Concatenato]],'Original data'!D:D,'Original data'!E:E)</f>
        <v>1293</v>
      </c>
      <c r="L147" t="s">
        <v>617</v>
      </c>
    </row>
    <row r="148" spans="2:12" x14ac:dyDescent="0.3">
      <c r="B148" s="3" t="s">
        <v>594</v>
      </c>
      <c r="C148" t="s">
        <v>331</v>
      </c>
      <c r="D148" t="s">
        <v>586</v>
      </c>
      <c r="E148" t="str">
        <f>IF(Tabella1[[#This Row],[Data type]]= "GEOMORPHOLOGICAL DATA", "G", "N")</f>
        <v>G</v>
      </c>
      <c r="F148" t="s">
        <v>636</v>
      </c>
      <c r="G148" s="2" t="s">
        <v>497</v>
      </c>
      <c r="H148" s="2" t="s">
        <v>565</v>
      </c>
      <c r="I148" t="s">
        <v>500</v>
      </c>
      <c r="J148" t="str">
        <f t="shared" si="2"/>
        <v>dissesti_IFFIfr_iffi1 (crollo ribaltamento)</v>
      </c>
      <c r="K148">
        <f>_xlfn.XLOOKUP(Tabella1[[#This Row],[Concatenato]],'Original data'!D:D,'Original data'!E:E)</f>
        <v>3633</v>
      </c>
      <c r="L148" t="s">
        <v>617</v>
      </c>
    </row>
    <row r="149" spans="2:12" x14ac:dyDescent="0.3">
      <c r="B149" s="3" t="s">
        <v>594</v>
      </c>
      <c r="C149" t="s">
        <v>333</v>
      </c>
      <c r="D149" t="s">
        <v>586</v>
      </c>
      <c r="E149" t="str">
        <f>IF(Tabella1[[#This Row],[Data type]]= "GEOMORPHOLOGICAL DATA", "G", "N")</f>
        <v>G</v>
      </c>
      <c r="F149" t="s">
        <v>636</v>
      </c>
      <c r="G149" s="2" t="s">
        <v>497</v>
      </c>
      <c r="H149" s="2" t="s">
        <v>565</v>
      </c>
      <c r="I149" t="s">
        <v>500</v>
      </c>
      <c r="J149" t="str">
        <f t="shared" si="2"/>
        <v>dissesti_IFFIfr_po1 (crollo ribaltamento)</v>
      </c>
      <c r="K149">
        <f>_xlfn.XLOOKUP(Tabella1[[#This Row],[Concatenato]],'Original data'!D:D,'Original data'!E:E)</f>
        <v>2563</v>
      </c>
      <c r="L149" t="s">
        <v>617</v>
      </c>
    </row>
    <row r="150" spans="2:12" x14ac:dyDescent="0.3">
      <c r="B150" s="5" t="s">
        <v>8</v>
      </c>
      <c r="C150" t="s">
        <v>35</v>
      </c>
      <c r="D150" t="s">
        <v>586</v>
      </c>
      <c r="E150" t="str">
        <f>IF(Tabella1[[#This Row],[Data type]]= "GEOMORPHOLOGICAL DATA", "G", "N")</f>
        <v>G</v>
      </c>
      <c r="F150" t="s">
        <v>636</v>
      </c>
      <c r="G150" t="s">
        <v>30</v>
      </c>
      <c r="H150" t="s">
        <v>566</v>
      </c>
      <c r="I150" t="s">
        <v>451</v>
      </c>
      <c r="J150" t="str">
        <f t="shared" si="2"/>
        <v>geoambientaliGD_GEO_WGSfrana non fedelmente cartografabile</v>
      </c>
      <c r="K150">
        <f>_xlfn.XLOOKUP(Tabella1[[#This Row],[Concatenato]],'Original data'!D:D,'Original data'!E:E)</f>
        <v>8110</v>
      </c>
      <c r="L150" t="s">
        <v>618</v>
      </c>
    </row>
    <row r="151" spans="2:12" x14ac:dyDescent="0.3">
      <c r="B151" s="3" t="s">
        <v>594</v>
      </c>
      <c r="C151" t="s">
        <v>332</v>
      </c>
      <c r="D151" t="s">
        <v>586</v>
      </c>
      <c r="E151" t="str">
        <f>IF(Tabella1[[#This Row],[Data type]]= "GEOMORPHOLOGICAL DATA", "G", "N")</f>
        <v>G</v>
      </c>
      <c r="F151" t="s">
        <v>636</v>
      </c>
      <c r="G151" s="2" t="s">
        <v>508</v>
      </c>
      <c r="H151" t="s">
        <v>566</v>
      </c>
      <c r="I151" t="s">
        <v>451</v>
      </c>
      <c r="J151" t="str">
        <f t="shared" si="2"/>
        <v>dissesti_IFFIfr_li7 (corpo di frana complesso)</v>
      </c>
      <c r="K151">
        <f>_xlfn.XLOOKUP(Tabella1[[#This Row],[Concatenato]],'Original data'!D:D,'Original data'!E:E)</f>
        <v>1</v>
      </c>
      <c r="L151" t="s">
        <v>617</v>
      </c>
    </row>
    <row r="152" spans="2:12" x14ac:dyDescent="0.3">
      <c r="B152" s="3" t="s">
        <v>594</v>
      </c>
      <c r="C152" t="s">
        <v>331</v>
      </c>
      <c r="D152" t="s">
        <v>586</v>
      </c>
      <c r="E152" t="str">
        <f>IF(Tabella1[[#This Row],[Data type]]= "GEOMORPHOLOGICAL DATA", "G", "N")</f>
        <v>G</v>
      </c>
      <c r="F152" t="s">
        <v>636</v>
      </c>
      <c r="G152" s="2" t="s">
        <v>508</v>
      </c>
      <c r="H152" t="s">
        <v>566</v>
      </c>
      <c r="I152" t="s">
        <v>451</v>
      </c>
      <c r="J152" t="str">
        <f t="shared" si="2"/>
        <v>dissesti_IFFIfr_iffi7 (corpo di frana complesso)</v>
      </c>
      <c r="K152">
        <f>_xlfn.XLOOKUP(Tabella1[[#This Row],[Concatenato]],'Original data'!D:D,'Original data'!E:E)</f>
        <v>4133</v>
      </c>
      <c r="L152" t="s">
        <v>617</v>
      </c>
    </row>
    <row r="153" spans="2:12" x14ac:dyDescent="0.3">
      <c r="B153" s="3" t="s">
        <v>594</v>
      </c>
      <c r="C153" t="s">
        <v>333</v>
      </c>
      <c r="D153" t="s">
        <v>586</v>
      </c>
      <c r="E153" t="str">
        <f>IF(Tabella1[[#This Row],[Data type]]= "GEOMORPHOLOGICAL DATA", "G", "N")</f>
        <v>G</v>
      </c>
      <c r="F153" t="s">
        <v>636</v>
      </c>
      <c r="G153" s="2" t="s">
        <v>508</v>
      </c>
      <c r="H153" t="s">
        <v>566</v>
      </c>
      <c r="I153" t="s">
        <v>451</v>
      </c>
      <c r="J153" t="str">
        <f t="shared" si="2"/>
        <v>dissesti_IFFIfr_po7 (corpo di frana complesso)</v>
      </c>
      <c r="K153">
        <f>_xlfn.XLOOKUP(Tabella1[[#This Row],[Concatenato]],'Original data'!D:D,'Original data'!E:E)</f>
        <v>4100</v>
      </c>
      <c r="L153" t="s">
        <v>617</v>
      </c>
    </row>
    <row r="154" spans="2:12" x14ac:dyDescent="0.3">
      <c r="B154" s="5" t="s">
        <v>8</v>
      </c>
      <c r="C154" t="s">
        <v>11</v>
      </c>
      <c r="D154" t="s">
        <v>586</v>
      </c>
      <c r="E154" t="str">
        <f>IF(Tabella1[[#This Row],[Data type]]= "GEOMORPHOLOGICAL DATA", "G", "N")</f>
        <v>G</v>
      </c>
      <c r="F154" t="s">
        <v>636</v>
      </c>
      <c r="G154" t="s">
        <v>7</v>
      </c>
      <c r="H154" t="s">
        <v>566</v>
      </c>
      <c r="I154" t="s">
        <v>451</v>
      </c>
      <c r="J154" t="str">
        <f t="shared" si="2"/>
        <v>geoambientaliAG_GEO_WGSarea di frane diffuse</v>
      </c>
      <c r="K154">
        <f>_xlfn.XLOOKUP(Tabella1[[#This Row],[Concatenato]],'Original data'!D:D,'Original data'!E:E)</f>
        <v>11</v>
      </c>
      <c r="L154" t="s">
        <v>617</v>
      </c>
    </row>
    <row r="155" spans="2:12" x14ac:dyDescent="0.3">
      <c r="B155" s="5" t="s">
        <v>8</v>
      </c>
      <c r="C155" t="s">
        <v>35</v>
      </c>
      <c r="D155" t="s">
        <v>586</v>
      </c>
      <c r="E155" t="str">
        <f>IF(Tabella1[[#This Row],[Data type]]= "GEOMORPHOLOGICAL DATA", "G", "N")</f>
        <v>G</v>
      </c>
      <c r="F155" t="s">
        <v>636</v>
      </c>
      <c r="G155" t="s">
        <v>33</v>
      </c>
      <c r="H155" t="s">
        <v>567</v>
      </c>
      <c r="I155" t="s">
        <v>461</v>
      </c>
      <c r="J155" t="str">
        <f t="shared" si="2"/>
        <v>geoambientaliGD_GEO_WGSsoliflusso e creep</v>
      </c>
      <c r="K155">
        <f>_xlfn.XLOOKUP(Tabella1[[#This Row],[Concatenato]],'Original data'!D:D,'Original data'!E:E)</f>
        <v>9535</v>
      </c>
      <c r="L155" t="s">
        <v>618</v>
      </c>
    </row>
    <row r="156" spans="2:12" x14ac:dyDescent="0.3">
      <c r="B156" s="3" t="s">
        <v>594</v>
      </c>
      <c r="C156" t="s">
        <v>330</v>
      </c>
      <c r="D156" t="s">
        <v>586</v>
      </c>
      <c r="E156" t="str">
        <f>IF(Tabella1[[#This Row],[Data type]]= "GEOMORPHOLOGICAL DATA", "G", "N")</f>
        <v>G</v>
      </c>
      <c r="F156" t="s">
        <v>636</v>
      </c>
      <c r="G156" s="2" t="s">
        <v>509</v>
      </c>
      <c r="H156" s="2" t="s">
        <v>568</v>
      </c>
      <c r="I156" t="s">
        <v>510</v>
      </c>
      <c r="J156" t="str">
        <f t="shared" si="2"/>
        <v>dissesti_IFFIfr_dgpv8 (DGPV)</v>
      </c>
      <c r="K156">
        <f>_xlfn.XLOOKUP(Tabella1[[#This Row],[Concatenato]],'Original data'!D:D,'Original data'!E:E)</f>
        <v>197</v>
      </c>
      <c r="L156" t="s">
        <v>617</v>
      </c>
    </row>
    <row r="157" spans="2:12" x14ac:dyDescent="0.3">
      <c r="B157" s="3" t="s">
        <v>594</v>
      </c>
      <c r="C157" t="s">
        <v>331</v>
      </c>
      <c r="D157" t="s">
        <v>586</v>
      </c>
      <c r="E157" t="str">
        <f>IF(Tabella1[[#This Row],[Data type]]= "GEOMORPHOLOGICAL DATA", "G", "N")</f>
        <v>G</v>
      </c>
      <c r="F157" t="s">
        <v>636</v>
      </c>
      <c r="G157" s="2" t="s">
        <v>509</v>
      </c>
      <c r="H157" s="2" t="s">
        <v>568</v>
      </c>
      <c r="I157" t="s">
        <v>510</v>
      </c>
      <c r="J157" t="str">
        <f t="shared" si="2"/>
        <v>dissesti_IFFIfr_iffi8 (DGPV)</v>
      </c>
      <c r="K157">
        <f>_xlfn.XLOOKUP(Tabella1[[#This Row],[Concatenato]],'Original data'!D:D,'Original data'!E:E)</f>
        <v>160</v>
      </c>
      <c r="L157" t="s">
        <v>617</v>
      </c>
    </row>
    <row r="158" spans="2:12" x14ac:dyDescent="0.3">
      <c r="B158" s="3" t="s">
        <v>594</v>
      </c>
      <c r="C158" t="s">
        <v>331</v>
      </c>
      <c r="D158" t="s">
        <v>586</v>
      </c>
      <c r="E158" t="str">
        <f>IF(Tabella1[[#This Row],[Data type]]= "GEOMORPHOLOGICAL DATA", "G", "N")</f>
        <v>G</v>
      </c>
      <c r="F158" t="s">
        <v>636</v>
      </c>
      <c r="G158" s="2" t="s">
        <v>501</v>
      </c>
      <c r="H158" s="2" t="s">
        <v>569</v>
      </c>
      <c r="I158" t="s">
        <v>502</v>
      </c>
      <c r="J158" t="str">
        <f t="shared" si="2"/>
        <v>dissesti_IFFIfr_iffi3 (espansione)</v>
      </c>
      <c r="K158">
        <f>_xlfn.XLOOKUP(Tabella1[[#This Row],[Concatenato]],'Original data'!D:D,'Original data'!E:E)</f>
        <v>5</v>
      </c>
      <c r="L158" t="s">
        <v>617</v>
      </c>
    </row>
    <row r="159" spans="2:12" x14ac:dyDescent="0.3">
      <c r="B159" s="3" t="s">
        <v>594</v>
      </c>
      <c r="C159" t="s">
        <v>333</v>
      </c>
      <c r="D159" t="s">
        <v>586</v>
      </c>
      <c r="E159" t="str">
        <f>IF(Tabella1[[#This Row],[Data type]]= "GEOMORPHOLOGICAL DATA", "G", "N")</f>
        <v>G</v>
      </c>
      <c r="F159" t="s">
        <v>636</v>
      </c>
      <c r="G159" s="2" t="s">
        <v>501</v>
      </c>
      <c r="H159" s="2" t="s">
        <v>569</v>
      </c>
      <c r="I159" t="s">
        <v>502</v>
      </c>
      <c r="J159" t="str">
        <f t="shared" si="2"/>
        <v>dissesti_IFFIfr_po3 (espansione)</v>
      </c>
      <c r="K159">
        <f>_xlfn.XLOOKUP(Tabella1[[#This Row],[Concatenato]],'Original data'!D:D,'Original data'!E:E)</f>
        <v>3</v>
      </c>
      <c r="L159" t="s">
        <v>617</v>
      </c>
    </row>
    <row r="160" spans="2:12" x14ac:dyDescent="0.3">
      <c r="B160" s="3" t="s">
        <v>594</v>
      </c>
      <c r="C160" t="s">
        <v>331</v>
      </c>
      <c r="D160" t="s">
        <v>586</v>
      </c>
      <c r="E160" t="str">
        <f>IF(Tabella1[[#This Row],[Data type]]= "GEOMORPHOLOGICAL DATA", "G", "N")</f>
        <v>G</v>
      </c>
      <c r="F160" t="s">
        <v>636</v>
      </c>
      <c r="G160" s="2" t="s">
        <v>506</v>
      </c>
      <c r="H160" s="2" t="s">
        <v>570</v>
      </c>
      <c r="I160" t="s">
        <v>507</v>
      </c>
      <c r="J160" t="str">
        <f t="shared" si="2"/>
        <v>dissesti_IFFIfr_iffi6 (sprofondamento)</v>
      </c>
      <c r="K160">
        <f>_xlfn.XLOOKUP(Tabella1[[#This Row],[Concatenato]],'Original data'!D:D,'Original data'!E:E)</f>
        <v>65</v>
      </c>
      <c r="L160" t="s">
        <v>617</v>
      </c>
    </row>
    <row r="161" spans="2:12" x14ac:dyDescent="0.3">
      <c r="B161" s="3" t="s">
        <v>594</v>
      </c>
      <c r="C161" t="s">
        <v>333</v>
      </c>
      <c r="D161" t="s">
        <v>586</v>
      </c>
      <c r="E161" t="str">
        <f>IF(Tabella1[[#This Row],[Data type]]= "GEOMORPHOLOGICAL DATA", "G", "N")</f>
        <v>G</v>
      </c>
      <c r="F161" t="s">
        <v>636</v>
      </c>
      <c r="G161" s="2" t="s">
        <v>506</v>
      </c>
      <c r="H161" s="2" t="s">
        <v>570</v>
      </c>
      <c r="I161" t="s">
        <v>507</v>
      </c>
      <c r="J161" t="str">
        <f t="shared" si="2"/>
        <v>dissesti_IFFIfr_po6 (sprofondamento)</v>
      </c>
      <c r="K161">
        <f>_xlfn.XLOOKUP(Tabella1[[#This Row],[Concatenato]],'Original data'!D:D,'Original data'!E:E)</f>
        <v>40</v>
      </c>
      <c r="L161" t="s">
        <v>617</v>
      </c>
    </row>
    <row r="162" spans="2:12" x14ac:dyDescent="0.3">
      <c r="B162" s="5" t="s">
        <v>8</v>
      </c>
      <c r="C162" t="s">
        <v>78</v>
      </c>
      <c r="D162" t="s">
        <v>586</v>
      </c>
      <c r="E162" t="str">
        <f>IF(Tabella1[[#This Row],[Data type]]= "GEOMORPHOLOGICAL DATA", "G", "N")</f>
        <v>G</v>
      </c>
      <c r="F162" t="s">
        <v>640</v>
      </c>
      <c r="G162" t="s">
        <v>83</v>
      </c>
      <c r="H162" t="s">
        <v>571</v>
      </c>
      <c r="I162" t="s">
        <v>478</v>
      </c>
      <c r="J162" t="str">
        <f t="shared" si="2"/>
        <v>geoambientaliOS_GEP_WGSorlo di scarpata di origine strutturale</v>
      </c>
      <c r="K162">
        <f>_xlfn.XLOOKUP(Tabella1[[#This Row],[Concatenato]],'Original data'!D:D,'Original data'!E:E)</f>
        <v>1611</v>
      </c>
      <c r="L162" t="s">
        <v>618</v>
      </c>
    </row>
    <row r="163" spans="2:12" x14ac:dyDescent="0.3">
      <c r="B163" s="5" t="s">
        <v>8</v>
      </c>
      <c r="C163" t="s">
        <v>11</v>
      </c>
      <c r="D163" t="s">
        <v>586</v>
      </c>
      <c r="E163" t="str">
        <f>IF(Tabella1[[#This Row],[Data type]]= "GEOMORPHOLOGICAL DATA", "G", "N")</f>
        <v>G</v>
      </c>
      <c r="F163" t="s">
        <v>640</v>
      </c>
      <c r="G163" t="s">
        <v>6</v>
      </c>
      <c r="H163" t="s">
        <v>579</v>
      </c>
      <c r="I163" t="s">
        <v>578</v>
      </c>
      <c r="J163" t="str">
        <f t="shared" si="2"/>
        <v>geoambientaliAG_GEO_WGSsuperficie strutturale</v>
      </c>
      <c r="K163">
        <f>_xlfn.XLOOKUP(Tabella1[[#This Row],[Concatenato]],'Original data'!D:D,'Original data'!E:E)</f>
        <v>63</v>
      </c>
      <c r="L163" t="s">
        <v>618</v>
      </c>
    </row>
    <row r="164" spans="2:12" x14ac:dyDescent="0.3">
      <c r="B164" s="5" t="s">
        <v>593</v>
      </c>
      <c r="C164" t="s">
        <v>145</v>
      </c>
      <c r="D164" t="s">
        <v>586</v>
      </c>
      <c r="E164" t="str">
        <f>IF(Tabella1[[#This Row],[Data type]]= "GEOMORPHOLOGICAL DATA", "G", "N")</f>
        <v>G</v>
      </c>
      <c r="F164" t="s">
        <v>635</v>
      </c>
      <c r="G164" t="s">
        <v>145</v>
      </c>
      <c r="H164" t="s">
        <v>573</v>
      </c>
      <c r="I164" t="s">
        <v>492</v>
      </c>
      <c r="J164" t="str">
        <f t="shared" si="2"/>
        <v>altri_datirockglacierrockglacier</v>
      </c>
      <c r="K164">
        <f>_xlfn.XLOOKUP(Tabella1[[#This Row],[Concatenato]],'Original data'!D:D,'Original data'!E:E)</f>
        <v>1742</v>
      </c>
      <c r="L164" t="s">
        <v>623</v>
      </c>
    </row>
    <row r="165" spans="2:12" x14ac:dyDescent="0.3">
      <c r="B165" s="5" t="s">
        <v>8</v>
      </c>
      <c r="C165" t="s">
        <v>41</v>
      </c>
      <c r="D165" t="s">
        <v>586</v>
      </c>
      <c r="E165" t="str">
        <f>IF(Tabella1[[#This Row],[Data type]]= "GEOMORPHOLOGICAL DATA", "G", "N")</f>
        <v>G</v>
      </c>
      <c r="F165" t="s">
        <v>641</v>
      </c>
      <c r="G165" t="s">
        <v>40</v>
      </c>
      <c r="H165" t="s">
        <v>40</v>
      </c>
      <c r="I165" t="s">
        <v>464</v>
      </c>
      <c r="J165" t="str">
        <f t="shared" si="2"/>
        <v>geoambientaliMG_GEO_WGSnivomorena</v>
      </c>
      <c r="K165">
        <f>_xlfn.XLOOKUP(Tabella1[[#This Row],[Concatenato]],'Original data'!D:D,'Original data'!E:E)</f>
        <v>66</v>
      </c>
      <c r="L165" t="s">
        <v>614</v>
      </c>
    </row>
    <row r="166" spans="2:12" x14ac:dyDescent="0.3">
      <c r="B166" s="5" t="s">
        <v>8</v>
      </c>
      <c r="C166" t="s">
        <v>46</v>
      </c>
      <c r="D166" t="s">
        <v>586</v>
      </c>
      <c r="E166" t="str">
        <f>IF(Tabella1[[#This Row],[Data type]]= "GEOMORPHOLOGICAL DATA", "G", "N")</f>
        <v>G</v>
      </c>
      <c r="F166" t="s">
        <v>635</v>
      </c>
      <c r="G166" t="s">
        <v>48</v>
      </c>
      <c r="H166" t="s">
        <v>574</v>
      </c>
      <c r="I166" t="s">
        <v>468</v>
      </c>
      <c r="J166" t="str">
        <f t="shared" si="2"/>
        <v>geoambientaliPG_GEO_WGScuscinetti erbosi</v>
      </c>
      <c r="K166">
        <f>_xlfn.XLOOKUP(Tabella1[[#This Row],[Concatenato]],'Original data'!D:D,'Original data'!E:E)</f>
        <v>52</v>
      </c>
      <c r="L166" t="s">
        <v>618</v>
      </c>
    </row>
    <row r="167" spans="2:12" x14ac:dyDescent="0.3">
      <c r="B167" s="5" t="s">
        <v>593</v>
      </c>
      <c r="C167" t="s">
        <v>148</v>
      </c>
      <c r="D167" t="s">
        <v>586</v>
      </c>
      <c r="E167" t="str">
        <f>IF(Tabella1[[#This Row],[Data type]]= "GEOMORPHOLOGICAL DATA", "G", "N")</f>
        <v>G</v>
      </c>
      <c r="F167" t="s">
        <v>635</v>
      </c>
      <c r="G167" t="s">
        <v>150</v>
      </c>
      <c r="H167" t="s">
        <v>575</v>
      </c>
      <c r="I167" t="s">
        <v>493</v>
      </c>
      <c r="J167" t="str">
        <f t="shared" si="2"/>
        <v>altri_datiWIZ_U32WG_VS_SIRVAL_VA_AGGSValanghe</v>
      </c>
      <c r="K167">
        <f>_xlfn.XLOOKUP(Tabella1[[#This Row],[Concatenato]],'Original data'!D:D,'Original data'!E:E)</f>
        <v>4472</v>
      </c>
      <c r="L167" t="s">
        <v>618</v>
      </c>
    </row>
    <row r="168" spans="2:12" x14ac:dyDescent="0.3">
      <c r="B168" s="5" t="s">
        <v>8</v>
      </c>
      <c r="C168" t="s">
        <v>38</v>
      </c>
      <c r="D168" t="s">
        <v>586</v>
      </c>
      <c r="E168" t="str">
        <f>IF(Tabella1[[#This Row],[Data type]]= "GEOMORPHOLOGICAL DATA", "G", "N")</f>
        <v>G</v>
      </c>
      <c r="F168" t="s">
        <v>641</v>
      </c>
      <c r="G168" t="s">
        <v>36</v>
      </c>
      <c r="H168" t="s">
        <v>572</v>
      </c>
      <c r="I168" t="s">
        <v>490</v>
      </c>
      <c r="J168" t="str">
        <f t="shared" si="2"/>
        <v>geoambientaliLS_GEO_WGSfaglia</v>
      </c>
      <c r="K168">
        <f>_xlfn.XLOOKUP(Tabella1[[#This Row],[Concatenato]],'Original data'!D:D,'Original data'!E:E)</f>
        <v>242</v>
      </c>
      <c r="L168" t="s">
        <v>618</v>
      </c>
    </row>
    <row r="169" spans="2:12" x14ac:dyDescent="0.3">
      <c r="B169" s="5" t="s">
        <v>8</v>
      </c>
      <c r="C169" t="s">
        <v>38</v>
      </c>
      <c r="D169" t="s">
        <v>586</v>
      </c>
      <c r="E169" t="str">
        <f>IF(Tabella1[[#This Row],[Data type]]= "GEOMORPHOLOGICAL DATA", "G", "N")</f>
        <v>G</v>
      </c>
      <c r="F169" t="s">
        <v>641</v>
      </c>
      <c r="G169" t="s">
        <v>37</v>
      </c>
      <c r="H169" t="s">
        <v>572</v>
      </c>
      <c r="I169" t="s">
        <v>490</v>
      </c>
      <c r="J169" t="str">
        <f t="shared" si="2"/>
        <v>geoambientaliLS_GEO_WGSfrattura principale</v>
      </c>
      <c r="K169">
        <f>_xlfn.XLOOKUP(Tabella1[[#This Row],[Concatenato]],'Original data'!D:D,'Original data'!E:E)</f>
        <v>86</v>
      </c>
      <c r="L169" t="s">
        <v>618</v>
      </c>
    </row>
    <row r="170" spans="2:12" x14ac:dyDescent="0.3">
      <c r="B170" s="5" t="s">
        <v>591</v>
      </c>
      <c r="C170" t="s">
        <v>92</v>
      </c>
      <c r="D170" t="s">
        <v>586</v>
      </c>
      <c r="E170" t="str">
        <f>IF(Tabella1[[#This Row],[Data type]]= "GEOMORPHOLOGICAL DATA", "G", "N")</f>
        <v>G</v>
      </c>
      <c r="F170" t="s">
        <v>641</v>
      </c>
      <c r="G170" t="s">
        <v>117</v>
      </c>
      <c r="H170" t="s">
        <v>572</v>
      </c>
      <c r="I170" t="s">
        <v>490</v>
      </c>
      <c r="J170" t="str">
        <f t="shared" si="2"/>
        <v>basi_ambientali_pianuraWIZ_U32WG_VS_SIT_BASI_ELELINOrlo di scarpata di origine tettonica</v>
      </c>
      <c r="K170">
        <f>_xlfn.XLOOKUP(Tabella1[[#This Row],[Concatenato]],'Original data'!D:D,'Original data'!E:E)</f>
        <v>7</v>
      </c>
      <c r="L170" t="s">
        <v>618</v>
      </c>
    </row>
    <row r="171" spans="2:12" x14ac:dyDescent="0.3">
      <c r="B171" s="5" t="s">
        <v>593</v>
      </c>
      <c r="C171" t="s">
        <v>253</v>
      </c>
      <c r="D171" t="s">
        <v>588</v>
      </c>
      <c r="E171" t="str">
        <f>IF(Tabella1[[#This Row],[Data type]]= "GEOMORPHOLOGICAL DATA", "G", "N")</f>
        <v>N</v>
      </c>
      <c r="G171"/>
      <c r="J171" t="str">
        <f t="shared" si="2"/>
        <v>altri_datiWIZ_U32WG_CT10_UTM_TL_MSTR_TR_IDR</v>
      </c>
      <c r="K171">
        <f>_xlfn.XLOOKUP(Tabella1[[#This Row],[Concatenato]],'Original data'!D:D,'Original data'!E:E)</f>
        <v>139856</v>
      </c>
      <c r="L171" t="s">
        <v>630</v>
      </c>
    </row>
    <row r="172" spans="2:12" x14ac:dyDescent="0.3">
      <c r="B172" s="5" t="s">
        <v>595</v>
      </c>
      <c r="C172" t="s">
        <v>262</v>
      </c>
      <c r="D172" t="s">
        <v>587</v>
      </c>
      <c r="E172" t="str">
        <f>IF(Tabella1[[#This Row],[Data type]]= "GEOMORPHOLOGICAL DATA", "G", "N")</f>
        <v>N</v>
      </c>
      <c r="G172" t="s">
        <v>272</v>
      </c>
      <c r="J172" t="str">
        <f t="shared" si="2"/>
        <v>DUSAFWIZ_U32WG_VS_DUSAF4prati permanenti in assenza di specie arboree ed arbustive</v>
      </c>
      <c r="K172">
        <f>_xlfn.XLOOKUP(Tabella1[[#This Row],[Concatenato]],'Original data'!D:D,'Original data'!E:E)</f>
        <v>43866</v>
      </c>
      <c r="L172" t="s">
        <v>630</v>
      </c>
    </row>
    <row r="173" spans="2:12" x14ac:dyDescent="0.3">
      <c r="B173" s="5" t="s">
        <v>595</v>
      </c>
      <c r="C173" t="s">
        <v>262</v>
      </c>
      <c r="D173" t="s">
        <v>587</v>
      </c>
      <c r="E173" t="str">
        <f>IF(Tabella1[[#This Row],[Data type]]= "GEOMORPHOLOGICAL DATA", "G", "N")</f>
        <v>N</v>
      </c>
      <c r="G173" t="s">
        <v>274</v>
      </c>
      <c r="J173" t="str">
        <f t="shared" si="2"/>
        <v>DUSAFWIZ_U32WG_VS_DUSAF4Tessuto residenziale sparso</v>
      </c>
      <c r="K173">
        <f>_xlfn.XLOOKUP(Tabella1[[#This Row],[Concatenato]],'Original data'!D:D,'Original data'!E:E)</f>
        <v>23989</v>
      </c>
      <c r="L173" t="s">
        <v>630</v>
      </c>
    </row>
    <row r="174" spans="2:12" x14ac:dyDescent="0.3">
      <c r="B174" s="5" t="s">
        <v>595</v>
      </c>
      <c r="C174" t="s">
        <v>262</v>
      </c>
      <c r="D174" t="s">
        <v>587</v>
      </c>
      <c r="E174" t="str">
        <f>IF(Tabella1[[#This Row],[Data type]]= "GEOMORPHOLOGICAL DATA", "G", "N")</f>
        <v>N</v>
      </c>
      <c r="G174" t="s">
        <v>295</v>
      </c>
      <c r="J174" t="str">
        <f t="shared" si="2"/>
        <v>DUSAFWIZ_U32WG_VS_DUSAF4seminativi semplici</v>
      </c>
      <c r="K174">
        <f>_xlfn.XLOOKUP(Tabella1[[#This Row],[Concatenato]],'Original data'!D:D,'Original data'!E:E)</f>
        <v>20382</v>
      </c>
      <c r="L174" t="s">
        <v>630</v>
      </c>
    </row>
    <row r="175" spans="2:12" x14ac:dyDescent="0.3">
      <c r="B175" s="5" t="s">
        <v>595</v>
      </c>
      <c r="C175" t="s">
        <v>262</v>
      </c>
      <c r="D175" t="s">
        <v>587</v>
      </c>
      <c r="E175" t="str">
        <f>IF(Tabella1[[#This Row],[Data type]]= "GEOMORPHOLOGICAL DATA", "G", "N")</f>
        <v>N</v>
      </c>
      <c r="G175" t="s">
        <v>273</v>
      </c>
      <c r="J175" t="str">
        <f t="shared" si="2"/>
        <v>DUSAFWIZ_U32WG_VS_DUSAF4Tessuto residenziale rado e nucleiforme</v>
      </c>
      <c r="K175">
        <f>_xlfn.XLOOKUP(Tabella1[[#This Row],[Concatenato]],'Original data'!D:D,'Original data'!E:E)</f>
        <v>19242</v>
      </c>
      <c r="L175" t="s">
        <v>630</v>
      </c>
    </row>
    <row r="176" spans="2:12" x14ac:dyDescent="0.3">
      <c r="B176" s="5" t="s">
        <v>8</v>
      </c>
      <c r="C176" t="s">
        <v>57</v>
      </c>
      <c r="D176" t="s">
        <v>589</v>
      </c>
      <c r="E176" t="str">
        <f>IF(Tabella1[[#This Row],[Data type]]= "GEOMORPHOLOGICAL DATA", "G", "N")</f>
        <v>N</v>
      </c>
      <c r="G176" t="s">
        <v>76</v>
      </c>
      <c r="J176" t="str">
        <f t="shared" si="2"/>
        <v>geoambientaliSL_GEO_WGSGneiss</v>
      </c>
      <c r="K176">
        <f>_xlfn.XLOOKUP(Tabella1[[#This Row],[Concatenato]],'Original data'!D:D,'Original data'!E:E)</f>
        <v>18018</v>
      </c>
      <c r="L176" t="s">
        <v>630</v>
      </c>
    </row>
    <row r="177" spans="2:12" x14ac:dyDescent="0.3">
      <c r="B177" s="5" t="s">
        <v>8</v>
      </c>
      <c r="C177" t="s">
        <v>57</v>
      </c>
      <c r="D177" t="s">
        <v>589</v>
      </c>
      <c r="E177" t="str">
        <f>IF(Tabella1[[#This Row],[Data type]]= "GEOMORPHOLOGICAL DATA", "G", "N")</f>
        <v>N</v>
      </c>
      <c r="G177" t="s">
        <v>62</v>
      </c>
      <c r="J177" t="str">
        <f t="shared" si="2"/>
        <v>geoambientaliSL_GEO_WGSCalcare</v>
      </c>
      <c r="K177">
        <f>_xlfn.XLOOKUP(Tabella1[[#This Row],[Concatenato]],'Original data'!D:D,'Original data'!E:E)</f>
        <v>16112</v>
      </c>
      <c r="L177" t="s">
        <v>630</v>
      </c>
    </row>
    <row r="178" spans="2:12" x14ac:dyDescent="0.3">
      <c r="B178" s="5" t="s">
        <v>8</v>
      </c>
      <c r="C178" t="s">
        <v>57</v>
      </c>
      <c r="D178" t="s">
        <v>589</v>
      </c>
      <c r="E178" t="str">
        <f>IF(Tabella1[[#This Row],[Data type]]= "GEOMORPHOLOGICAL DATA", "G", "N")</f>
        <v>N</v>
      </c>
      <c r="G178" t="s">
        <v>63</v>
      </c>
      <c r="J178" t="str">
        <f t="shared" si="2"/>
        <v>geoambientaliSL_GEO_WGSMicascisti</v>
      </c>
      <c r="K178">
        <f>_xlfn.XLOOKUP(Tabella1[[#This Row],[Concatenato]],'Original data'!D:D,'Original data'!E:E)</f>
        <v>15594</v>
      </c>
      <c r="L178" t="s">
        <v>630</v>
      </c>
    </row>
    <row r="179" spans="2:12" x14ac:dyDescent="0.3">
      <c r="B179" s="5" t="s">
        <v>595</v>
      </c>
      <c r="C179" t="s">
        <v>262</v>
      </c>
      <c r="D179" t="s">
        <v>587</v>
      </c>
      <c r="E179" t="str">
        <f>IF(Tabella1[[#This Row],[Data type]]= "GEOMORPHOLOGICAL DATA", "G", "N")</f>
        <v>N</v>
      </c>
      <c r="G179" t="s">
        <v>268</v>
      </c>
      <c r="J179" t="str">
        <f t="shared" si="2"/>
        <v>DUSAFWIZ_U32WG_VS_DUSAF4Insediamenti industriali, artigianali, commerciali</v>
      </c>
      <c r="K179">
        <f>_xlfn.XLOOKUP(Tabella1[[#This Row],[Concatenato]],'Original data'!D:D,'Original data'!E:E)</f>
        <v>15335</v>
      </c>
      <c r="L179" t="s">
        <v>630</v>
      </c>
    </row>
    <row r="180" spans="2:12" x14ac:dyDescent="0.3">
      <c r="B180" s="5" t="s">
        <v>595</v>
      </c>
      <c r="C180" t="s">
        <v>262</v>
      </c>
      <c r="D180" t="s">
        <v>587</v>
      </c>
      <c r="E180" t="str">
        <f>IF(Tabella1[[#This Row],[Data type]]= "GEOMORPHOLOGICAL DATA", "G", "N")</f>
        <v>N</v>
      </c>
      <c r="G180" t="s">
        <v>300</v>
      </c>
      <c r="J180" t="str">
        <f t="shared" si="2"/>
        <v>DUSAFWIZ_U32WG_VS_DUSAF4boschi di latifoglie a densit?á media e alta</v>
      </c>
      <c r="K180">
        <f>_xlfn.XLOOKUP(Tabella1[[#This Row],[Concatenato]],'Original data'!D:D,'Original data'!E:E)</f>
        <v>14508</v>
      </c>
      <c r="L180" t="s">
        <v>630</v>
      </c>
    </row>
    <row r="181" spans="2:12" x14ac:dyDescent="0.3">
      <c r="B181" s="5" t="s">
        <v>595</v>
      </c>
      <c r="C181" t="s">
        <v>262</v>
      </c>
      <c r="D181" t="s">
        <v>587</v>
      </c>
      <c r="E181" t="str">
        <f>IF(Tabella1[[#This Row],[Data type]]= "GEOMORPHOLOGICAL DATA", "G", "N")</f>
        <v>N</v>
      </c>
      <c r="G181" t="s">
        <v>287</v>
      </c>
      <c r="J181" t="str">
        <f t="shared" si="2"/>
        <v>DUSAFWIZ_U32WG_VS_DUSAF4Cascine</v>
      </c>
      <c r="K181">
        <f>_xlfn.XLOOKUP(Tabella1[[#This Row],[Concatenato]],'Original data'!D:D,'Original data'!E:E)</f>
        <v>13887</v>
      </c>
      <c r="L181" t="s">
        <v>630</v>
      </c>
    </row>
    <row r="182" spans="2:12" x14ac:dyDescent="0.3">
      <c r="B182" s="5" t="s">
        <v>595</v>
      </c>
      <c r="C182" t="s">
        <v>262</v>
      </c>
      <c r="D182" t="s">
        <v>587</v>
      </c>
      <c r="E182" t="str">
        <f>IF(Tabella1[[#This Row],[Data type]]= "GEOMORPHOLOGICAL DATA", "G", "N")</f>
        <v>N</v>
      </c>
      <c r="G182" t="s">
        <v>296</v>
      </c>
      <c r="J182" t="str">
        <f t="shared" si="2"/>
        <v>DUSAFWIZ_U32WG_VS_DUSAF4Insediamenti produttivi agricoli</v>
      </c>
      <c r="K182">
        <f>_xlfn.XLOOKUP(Tabella1[[#This Row],[Concatenato]],'Original data'!D:D,'Original data'!E:E)</f>
        <v>13593</v>
      </c>
      <c r="L182" t="s">
        <v>630</v>
      </c>
    </row>
    <row r="183" spans="2:12" x14ac:dyDescent="0.3">
      <c r="B183" s="5" t="s">
        <v>595</v>
      </c>
      <c r="C183" t="s">
        <v>262</v>
      </c>
      <c r="D183" t="s">
        <v>587</v>
      </c>
      <c r="E183" t="str">
        <f>IF(Tabella1[[#This Row],[Data type]]= "GEOMORPHOLOGICAL DATA", "G", "N")</f>
        <v>N</v>
      </c>
      <c r="G183" t="s">
        <v>292</v>
      </c>
      <c r="J183" t="str">
        <f t="shared" si="2"/>
        <v>DUSAFWIZ_U32WG_VS_DUSAF4cespuglieti in aree di agricole abbandonate</v>
      </c>
      <c r="K183">
        <f>_xlfn.XLOOKUP(Tabella1[[#This Row],[Concatenato]],'Original data'!D:D,'Original data'!E:E)</f>
        <v>12462</v>
      </c>
      <c r="L183" t="s">
        <v>630</v>
      </c>
    </row>
    <row r="184" spans="2:12" x14ac:dyDescent="0.3">
      <c r="B184" s="5" t="s">
        <v>595</v>
      </c>
      <c r="C184" t="s">
        <v>262</v>
      </c>
      <c r="D184" t="s">
        <v>587</v>
      </c>
      <c r="E184" t="str">
        <f>IF(Tabella1[[#This Row],[Data type]]= "GEOMORPHOLOGICAL DATA", "G", "N")</f>
        <v>N</v>
      </c>
      <c r="G184" t="s">
        <v>270</v>
      </c>
      <c r="J184" t="str">
        <f t="shared" si="2"/>
        <v>DUSAFWIZ_U32WG_VS_DUSAF4prati permanenti con presenza di specie arboree ed arbustive sparse</v>
      </c>
      <c r="K184">
        <f>_xlfn.XLOOKUP(Tabella1[[#This Row],[Concatenato]],'Original data'!D:D,'Original data'!E:E)</f>
        <v>11266</v>
      </c>
      <c r="L184" t="s">
        <v>630</v>
      </c>
    </row>
    <row r="185" spans="2:12" x14ac:dyDescent="0.3">
      <c r="B185" s="5" t="s">
        <v>8</v>
      </c>
      <c r="C185" t="s">
        <v>57</v>
      </c>
      <c r="D185" t="s">
        <v>589</v>
      </c>
      <c r="E185" t="str">
        <f>IF(Tabella1[[#This Row],[Data type]]= "GEOMORPHOLOGICAL DATA", "G", "N")</f>
        <v>N</v>
      </c>
      <c r="G185" t="s">
        <v>66</v>
      </c>
      <c r="J185" t="str">
        <f t="shared" si="2"/>
        <v>geoambientaliSL_GEO_WGSDolomia massiccia o stratificata</v>
      </c>
      <c r="K185">
        <f>_xlfn.XLOOKUP(Tabella1[[#This Row],[Concatenato]],'Original data'!D:D,'Original data'!E:E)</f>
        <v>10751</v>
      </c>
      <c r="L185" t="s">
        <v>630</v>
      </c>
    </row>
    <row r="186" spans="2:12" x14ac:dyDescent="0.3">
      <c r="B186" s="5" t="s">
        <v>595</v>
      </c>
      <c r="C186" t="s">
        <v>262</v>
      </c>
      <c r="D186" t="s">
        <v>587</v>
      </c>
      <c r="E186" t="str">
        <f>IF(Tabella1[[#This Row],[Data type]]= "GEOMORPHOLOGICAL DATA", "G", "N")</f>
        <v>N</v>
      </c>
      <c r="G186" t="s">
        <v>285</v>
      </c>
      <c r="J186" t="str">
        <f t="shared" si="2"/>
        <v>DUSAFWIZ_U32WG_VS_DUSAF4Tessuto residenziale discontinuo</v>
      </c>
      <c r="K186">
        <f>_xlfn.XLOOKUP(Tabella1[[#This Row],[Concatenato]],'Original data'!D:D,'Original data'!E:E)</f>
        <v>10661</v>
      </c>
      <c r="L186" t="s">
        <v>630</v>
      </c>
    </row>
    <row r="187" spans="2:12" x14ac:dyDescent="0.3">
      <c r="B187" s="5" t="s">
        <v>595</v>
      </c>
      <c r="C187" t="s">
        <v>262</v>
      </c>
      <c r="D187" t="s">
        <v>587</v>
      </c>
      <c r="E187" t="str">
        <f>IF(Tabella1[[#This Row],[Data type]]= "GEOMORPHOLOGICAL DATA", "G", "N")</f>
        <v>N</v>
      </c>
      <c r="G187" t="s">
        <v>298</v>
      </c>
      <c r="J187" t="str">
        <f t="shared" si="2"/>
        <v>DUSAFWIZ_U32WG_VS_DUSAF4Parchi e giardini</v>
      </c>
      <c r="K187">
        <f>_xlfn.XLOOKUP(Tabella1[[#This Row],[Concatenato]],'Original data'!D:D,'Original data'!E:E)</f>
        <v>10226</v>
      </c>
      <c r="L187" t="s">
        <v>630</v>
      </c>
    </row>
    <row r="188" spans="2:12" x14ac:dyDescent="0.3">
      <c r="B188" s="5" t="s">
        <v>595</v>
      </c>
      <c r="C188" t="s">
        <v>262</v>
      </c>
      <c r="D188" t="s">
        <v>587</v>
      </c>
      <c r="E188" t="str">
        <f>IF(Tabella1[[#This Row],[Data type]]= "GEOMORPHOLOGICAL DATA", "G", "N")</f>
        <v>N</v>
      </c>
      <c r="G188" t="s">
        <v>282</v>
      </c>
      <c r="J188" t="str">
        <f t="shared" si="2"/>
        <v>DUSAFWIZ_U32WG_VS_DUSAF4cespuglieti con presenza significativa di specie arbustive alte ed arboree</v>
      </c>
      <c r="K188">
        <f>_xlfn.XLOOKUP(Tabella1[[#This Row],[Concatenato]],'Original data'!D:D,'Original data'!E:E)</f>
        <v>9448</v>
      </c>
      <c r="L188" t="s">
        <v>630</v>
      </c>
    </row>
    <row r="189" spans="2:12" x14ac:dyDescent="0.3">
      <c r="B189" s="3" t="s">
        <v>594</v>
      </c>
      <c r="C189" t="s">
        <v>331</v>
      </c>
      <c r="D189" t="s">
        <v>586</v>
      </c>
      <c r="E189" t="str">
        <f>IF(Tabella1[[#This Row],[Data type]]= "GEOMORPHOLOGICAL DATA", "G", "N")</f>
        <v>G</v>
      </c>
      <c r="F189" t="s">
        <v>636</v>
      </c>
      <c r="G189" s="2" t="s">
        <v>505</v>
      </c>
      <c r="H189" s="2"/>
      <c r="J189" t="str">
        <f t="shared" si="2"/>
        <v>dissesti_IFFIfr_iffi5 (colamento rapido)</v>
      </c>
      <c r="K189">
        <f>_xlfn.XLOOKUP(Tabella1[[#This Row],[Concatenato]],'Original data'!D:D,'Original data'!E:E)</f>
        <v>59112</v>
      </c>
      <c r="L189" t="s">
        <v>615</v>
      </c>
    </row>
    <row r="190" spans="2:12" x14ac:dyDescent="0.3">
      <c r="B190" s="5" t="s">
        <v>595</v>
      </c>
      <c r="C190" t="s">
        <v>262</v>
      </c>
      <c r="D190" t="s">
        <v>587</v>
      </c>
      <c r="E190" t="str">
        <f>IF(Tabella1[[#This Row],[Data type]]= "GEOMORPHOLOGICAL DATA", "G", "N")</f>
        <v>N</v>
      </c>
      <c r="G190" t="s">
        <v>305</v>
      </c>
      <c r="J190" t="str">
        <f t="shared" si="2"/>
        <v>DUSAFWIZ_U32WG_VS_DUSAF4vigneti</v>
      </c>
      <c r="K190">
        <f>_xlfn.XLOOKUP(Tabella1[[#This Row],[Concatenato]],'Original data'!D:D,'Original data'!E:E)</f>
        <v>8612</v>
      </c>
      <c r="L190" t="s">
        <v>630</v>
      </c>
    </row>
    <row r="191" spans="2:12" x14ac:dyDescent="0.3">
      <c r="B191" s="5" t="s">
        <v>595</v>
      </c>
      <c r="C191" t="s">
        <v>262</v>
      </c>
      <c r="D191" t="s">
        <v>587</v>
      </c>
      <c r="E191" t="str">
        <f>IF(Tabella1[[#This Row],[Data type]]= "GEOMORPHOLOGICAL DATA", "G", "N")</f>
        <v>N</v>
      </c>
      <c r="G191" t="s">
        <v>294</v>
      </c>
      <c r="J191" t="str">
        <f t="shared" si="2"/>
        <v>DUSAFWIZ_U32WG_VS_DUSAF4formazioni ripariali</v>
      </c>
      <c r="K191">
        <f>_xlfn.XLOOKUP(Tabella1[[#This Row],[Concatenato]],'Original data'!D:D,'Original data'!E:E)</f>
        <v>6785</v>
      </c>
      <c r="L191" t="s">
        <v>630</v>
      </c>
    </row>
    <row r="192" spans="2:12" x14ac:dyDescent="0.3">
      <c r="B192" s="5" t="s">
        <v>8</v>
      </c>
      <c r="C192" t="s">
        <v>16</v>
      </c>
      <c r="D192" t="s">
        <v>586</v>
      </c>
      <c r="E192" t="str">
        <f>IF(Tabella1[[#This Row],[Data type]]= "GEOMORPHOLOGICAL DATA", "G", "N")</f>
        <v>G</v>
      </c>
      <c r="F192" t="s">
        <v>644</v>
      </c>
      <c r="G192" t="s">
        <v>17</v>
      </c>
      <c r="J192" t="str">
        <f t="shared" si="2"/>
        <v>geoambientaliDS_GEO_WGSdeposito</v>
      </c>
      <c r="K192">
        <f>_xlfn.XLOOKUP(Tabella1[[#This Row],[Concatenato]],'Original data'!D:D,'Original data'!E:E)</f>
        <v>20164</v>
      </c>
      <c r="L192" t="s">
        <v>615</v>
      </c>
    </row>
    <row r="193" spans="2:12" x14ac:dyDescent="0.3">
      <c r="B193" s="5" t="s">
        <v>595</v>
      </c>
      <c r="C193" t="s">
        <v>262</v>
      </c>
      <c r="D193" t="s">
        <v>587</v>
      </c>
      <c r="E193" t="str">
        <f>IF(Tabella1[[#This Row],[Data type]]= "GEOMORPHOLOGICAL DATA", "G", "N")</f>
        <v>N</v>
      </c>
      <c r="G193" t="s">
        <v>316</v>
      </c>
      <c r="J193" t="str">
        <f t="shared" si="2"/>
        <v>DUSAFWIZ_U32WG_VS_DUSAF4pioppeti</v>
      </c>
      <c r="K193">
        <f>_xlfn.XLOOKUP(Tabella1[[#This Row],[Concatenato]],'Original data'!D:D,'Original data'!E:E)</f>
        <v>6034</v>
      </c>
      <c r="L193" t="s">
        <v>630</v>
      </c>
    </row>
    <row r="194" spans="2:12" x14ac:dyDescent="0.3">
      <c r="B194" s="5" t="s">
        <v>595</v>
      </c>
      <c r="C194" t="s">
        <v>262</v>
      </c>
      <c r="D194" t="s">
        <v>587</v>
      </c>
      <c r="E194" t="str">
        <f>IF(Tabella1[[#This Row],[Data type]]= "GEOMORPHOLOGICAL DATA", "G", "N")</f>
        <v>N</v>
      </c>
      <c r="G194" t="s">
        <v>266</v>
      </c>
      <c r="J194" t="str">
        <f t="shared" ref="J194:J257" si="3">_xlfn.CONCAT(B194,C194,G194)</f>
        <v>DUSAFWIZ_U32WG_VS_DUSAF4vegetazione rada</v>
      </c>
      <c r="K194">
        <f>_xlfn.XLOOKUP(Tabella1[[#This Row],[Concatenato]],'Original data'!D:D,'Original data'!E:E)</f>
        <v>5938</v>
      </c>
      <c r="L194" t="s">
        <v>630</v>
      </c>
    </row>
    <row r="195" spans="2:12" x14ac:dyDescent="0.3">
      <c r="B195" s="5" t="s">
        <v>595</v>
      </c>
      <c r="C195" t="s">
        <v>262</v>
      </c>
      <c r="D195" t="s">
        <v>587</v>
      </c>
      <c r="E195" t="str">
        <f>IF(Tabella1[[#This Row],[Data type]]= "GEOMORPHOLOGICAL DATA", "G", "N")</f>
        <v>N</v>
      </c>
      <c r="G195" t="s">
        <v>267</v>
      </c>
      <c r="J195" t="str">
        <f t="shared" si="3"/>
        <v>DUSAFWIZ_U32WG_VS_DUSAF4Accumuli detritici e affioramenti litoidi privi di vegetazione</v>
      </c>
      <c r="K195">
        <f>_xlfn.XLOOKUP(Tabella1[[#This Row],[Concatenato]],'Original data'!D:D,'Original data'!E:E)</f>
        <v>5400</v>
      </c>
      <c r="L195" t="s">
        <v>630</v>
      </c>
    </row>
    <row r="196" spans="2:12" x14ac:dyDescent="0.3">
      <c r="B196" s="5" t="s">
        <v>8</v>
      </c>
      <c r="C196" t="s">
        <v>57</v>
      </c>
      <c r="D196" t="s">
        <v>589</v>
      </c>
      <c r="E196" t="str">
        <f>IF(Tabella1[[#This Row],[Data type]]= "GEOMORPHOLOGICAL DATA", "G", "N")</f>
        <v>N</v>
      </c>
      <c r="G196" t="s">
        <v>74</v>
      </c>
      <c r="J196" t="str">
        <f t="shared" si="3"/>
        <v>geoambientaliSL_GEO_WGSFilladi e argilloscisti</v>
      </c>
      <c r="K196">
        <f>_xlfn.XLOOKUP(Tabella1[[#This Row],[Concatenato]],'Original data'!D:D,'Original data'!E:E)</f>
        <v>5006</v>
      </c>
      <c r="L196" t="s">
        <v>630</v>
      </c>
    </row>
    <row r="197" spans="2:12" x14ac:dyDescent="0.3">
      <c r="B197" s="5" t="s">
        <v>595</v>
      </c>
      <c r="C197" t="s">
        <v>262</v>
      </c>
      <c r="D197" t="s">
        <v>587</v>
      </c>
      <c r="E197" t="str">
        <f>IF(Tabella1[[#This Row],[Data type]]= "GEOMORPHOLOGICAL DATA", "G", "N")</f>
        <v>N</v>
      </c>
      <c r="G197" t="s">
        <v>276</v>
      </c>
      <c r="J197" t="str">
        <f t="shared" si="3"/>
        <v>DUSAFWIZ_U32WG_VS_DUSAF4Impianti sportivi</v>
      </c>
      <c r="K197">
        <f>_xlfn.XLOOKUP(Tabella1[[#This Row],[Concatenato]],'Original data'!D:D,'Original data'!E:E)</f>
        <v>4669</v>
      </c>
      <c r="L197" t="s">
        <v>630</v>
      </c>
    </row>
    <row r="198" spans="2:12" x14ac:dyDescent="0.3">
      <c r="B198" s="5" t="s">
        <v>595</v>
      </c>
      <c r="C198" t="s">
        <v>262</v>
      </c>
      <c r="D198" t="s">
        <v>587</v>
      </c>
      <c r="E198" t="str">
        <f>IF(Tabella1[[#This Row],[Data type]]= "GEOMORPHOLOGICAL DATA", "G", "N")</f>
        <v>N</v>
      </c>
      <c r="G198" t="s">
        <v>293</v>
      </c>
      <c r="J198" t="str">
        <f t="shared" si="3"/>
        <v>DUSAFWIZ_U32WG_VS_DUSAF4Impianti di servizi pubblici e privati</v>
      </c>
      <c r="K198">
        <f>_xlfn.XLOOKUP(Tabella1[[#This Row],[Concatenato]],'Original data'!D:D,'Original data'!E:E)</f>
        <v>4537</v>
      </c>
      <c r="L198" t="s">
        <v>630</v>
      </c>
    </row>
    <row r="199" spans="2:12" x14ac:dyDescent="0.3">
      <c r="B199" s="5" t="s">
        <v>8</v>
      </c>
      <c r="C199" t="s">
        <v>57</v>
      </c>
      <c r="D199" t="s">
        <v>589</v>
      </c>
      <c r="E199" t="str">
        <f>IF(Tabella1[[#This Row],[Data type]]= "GEOMORPHOLOGICAL DATA", "G", "N")</f>
        <v>N</v>
      </c>
      <c r="G199" t="s">
        <v>68</v>
      </c>
      <c r="J199" t="str">
        <f t="shared" si="3"/>
        <v>geoambientaliSL_GEO_WGSRocce intrusive</v>
      </c>
      <c r="K199">
        <f>_xlfn.XLOOKUP(Tabella1[[#This Row],[Concatenato]],'Original data'!D:D,'Original data'!E:E)</f>
        <v>4496</v>
      </c>
      <c r="L199" t="s">
        <v>630</v>
      </c>
    </row>
    <row r="200" spans="2:12" x14ac:dyDescent="0.3">
      <c r="B200" s="5" t="s">
        <v>8</v>
      </c>
      <c r="C200" t="s">
        <v>16</v>
      </c>
      <c r="D200" t="s">
        <v>586</v>
      </c>
      <c r="E200" t="str">
        <f>IF(Tabella1[[#This Row],[Data type]]= "GEOMORPHOLOGICAL DATA", "G", "N")</f>
        <v>G</v>
      </c>
      <c r="F200" t="s">
        <v>644</v>
      </c>
      <c r="G200" t="s">
        <v>18</v>
      </c>
      <c r="J200" t="str">
        <f t="shared" si="3"/>
        <v>geoambientaliDS_GEO_WGSdetrito</v>
      </c>
      <c r="K200">
        <f>_xlfn.XLOOKUP(Tabella1[[#This Row],[Concatenato]],'Original data'!D:D,'Original data'!E:E)</f>
        <v>19102</v>
      </c>
      <c r="L200" t="s">
        <v>615</v>
      </c>
    </row>
    <row r="201" spans="2:12" x14ac:dyDescent="0.3">
      <c r="B201" s="5" t="s">
        <v>8</v>
      </c>
      <c r="C201" t="s">
        <v>57</v>
      </c>
      <c r="D201" t="s">
        <v>589</v>
      </c>
      <c r="E201" t="str">
        <f>IF(Tabella1[[#This Row],[Data type]]= "GEOMORPHOLOGICAL DATA", "G", "N")</f>
        <v>N</v>
      </c>
      <c r="G201" t="s">
        <v>60</v>
      </c>
      <c r="J201" t="str">
        <f t="shared" si="3"/>
        <v>geoambientaliSL_GEO_WGSArenaria</v>
      </c>
      <c r="K201">
        <f>_xlfn.XLOOKUP(Tabella1[[#This Row],[Concatenato]],'Original data'!D:D,'Original data'!E:E)</f>
        <v>4399</v>
      </c>
      <c r="L201" t="s">
        <v>630</v>
      </c>
    </row>
    <row r="202" spans="2:12" x14ac:dyDescent="0.3">
      <c r="B202" s="5" t="s">
        <v>595</v>
      </c>
      <c r="C202" t="s">
        <v>262</v>
      </c>
      <c r="D202" t="s">
        <v>587</v>
      </c>
      <c r="E202" t="str">
        <f>IF(Tabella1[[#This Row],[Data type]]= "GEOMORPHOLOGICAL DATA", "G", "N")</f>
        <v>N</v>
      </c>
      <c r="G202" t="s">
        <v>308</v>
      </c>
      <c r="J202" t="str">
        <f t="shared" si="3"/>
        <v>DUSAFWIZ_U32WG_VS_DUSAF4Aree verdi incolte</v>
      </c>
      <c r="K202">
        <f>_xlfn.XLOOKUP(Tabella1[[#This Row],[Concatenato]],'Original data'!D:D,'Original data'!E:E)</f>
        <v>4248</v>
      </c>
      <c r="L202" t="s">
        <v>630</v>
      </c>
    </row>
    <row r="203" spans="2:12" x14ac:dyDescent="0.3">
      <c r="B203" s="5" t="s">
        <v>8</v>
      </c>
      <c r="C203" t="s">
        <v>23</v>
      </c>
      <c r="D203" t="s">
        <v>586</v>
      </c>
      <c r="E203" t="str">
        <f>IF(Tabella1[[#This Row],[Data type]]= "GEOMORPHOLOGICAL DATA", "G", "N")</f>
        <v>G</v>
      </c>
      <c r="F203" t="s">
        <v>633</v>
      </c>
      <c r="G203" t="s">
        <v>21</v>
      </c>
      <c r="J203" t="str">
        <f t="shared" si="3"/>
        <v>geoambientaliEI_GEO_WGSerosione incanalata</v>
      </c>
      <c r="K203">
        <f>_xlfn.XLOOKUP(Tabella1[[#This Row],[Concatenato]],'Original data'!D:D,'Original data'!E:E)</f>
        <v>18437</v>
      </c>
      <c r="L203" t="s">
        <v>615</v>
      </c>
    </row>
    <row r="204" spans="2:12" x14ac:dyDescent="0.3">
      <c r="B204" s="5" t="s">
        <v>595</v>
      </c>
      <c r="C204" t="s">
        <v>262</v>
      </c>
      <c r="D204" t="s">
        <v>587</v>
      </c>
      <c r="E204" t="str">
        <f>IF(Tabella1[[#This Row],[Data type]]= "GEOMORPHOLOGICAL DATA", "G", "N")</f>
        <v>N</v>
      </c>
      <c r="G204" t="s">
        <v>306</v>
      </c>
      <c r="J204" t="str">
        <f t="shared" si="3"/>
        <v>DUSAFWIZ_U32WG_VS_DUSAF4frutteti e frutti minori</v>
      </c>
      <c r="K204">
        <f>_xlfn.XLOOKUP(Tabella1[[#This Row],[Concatenato]],'Original data'!D:D,'Original data'!E:E)</f>
        <v>4077</v>
      </c>
      <c r="L204" t="s">
        <v>630</v>
      </c>
    </row>
    <row r="205" spans="2:12" x14ac:dyDescent="0.3">
      <c r="B205" s="5" t="s">
        <v>595</v>
      </c>
      <c r="C205" t="s">
        <v>262</v>
      </c>
      <c r="D205" t="s">
        <v>587</v>
      </c>
      <c r="E205" t="str">
        <f>IF(Tabella1[[#This Row],[Data type]]= "GEOMORPHOLOGICAL DATA", "G", "N")</f>
        <v>N</v>
      </c>
      <c r="G205" t="s">
        <v>265</v>
      </c>
      <c r="J205" t="str">
        <f t="shared" si="3"/>
        <v>DUSAFWIZ_U32WG_VS_DUSAF4cespuglieti</v>
      </c>
      <c r="K205">
        <f>_xlfn.XLOOKUP(Tabella1[[#This Row],[Concatenato]],'Original data'!D:D,'Original data'!E:E)</f>
        <v>3773</v>
      </c>
      <c r="L205" t="s">
        <v>630</v>
      </c>
    </row>
    <row r="206" spans="2:12" x14ac:dyDescent="0.3">
      <c r="B206" s="5" t="s">
        <v>593</v>
      </c>
      <c r="C206" t="s">
        <v>148</v>
      </c>
      <c r="D206" t="s">
        <v>588</v>
      </c>
      <c r="E206" t="str">
        <f>IF(Tabella1[[#This Row],[Data type]]= "GEOMORPHOLOGICAL DATA", "G", "N")</f>
        <v>N</v>
      </c>
      <c r="G206" t="s">
        <v>149</v>
      </c>
      <c r="J206" t="str">
        <f t="shared" si="3"/>
        <v>altri_datiWIZ_U32WG_VS_SIRVAL_VA_AGGSZone pericolose</v>
      </c>
      <c r="K206">
        <f>_xlfn.XLOOKUP(Tabella1[[#This Row],[Concatenato]],'Original data'!D:D,'Original data'!E:E)</f>
        <v>3686</v>
      </c>
      <c r="L206" t="s">
        <v>630</v>
      </c>
    </row>
    <row r="207" spans="2:12" x14ac:dyDescent="0.3">
      <c r="B207" s="3" t="s">
        <v>594</v>
      </c>
      <c r="C207" t="s">
        <v>331</v>
      </c>
      <c r="D207" t="s">
        <v>586</v>
      </c>
      <c r="E207" t="str">
        <f>IF(Tabella1[[#This Row],[Data type]]= "GEOMORPHOLOGICAL DATA", "G", "N")</f>
        <v>G</v>
      </c>
      <c r="F207" t="s">
        <v>636</v>
      </c>
      <c r="G207" s="2" t="s">
        <v>513</v>
      </c>
      <c r="H207" s="2"/>
      <c r="J207" t="str">
        <f t="shared" si="3"/>
        <v>dissesti_IFFIfr_iffi11 (Aree soggette a frane superficiali diffuse)</v>
      </c>
      <c r="K207">
        <f>_xlfn.XLOOKUP(Tabella1[[#This Row],[Concatenato]],'Original data'!D:D,'Original data'!E:E)</f>
        <v>8868</v>
      </c>
      <c r="L207" t="s">
        <v>615</v>
      </c>
    </row>
    <row r="208" spans="2:12" x14ac:dyDescent="0.3">
      <c r="B208" s="5" t="s">
        <v>595</v>
      </c>
      <c r="C208" t="s">
        <v>262</v>
      </c>
      <c r="D208" t="s">
        <v>587</v>
      </c>
      <c r="E208" t="str">
        <f>IF(Tabella1[[#This Row],[Data type]]= "GEOMORPHOLOGICAL DATA", "G", "N")</f>
        <v>N</v>
      </c>
      <c r="G208" t="s">
        <v>277</v>
      </c>
      <c r="J208" t="str">
        <f t="shared" si="3"/>
        <v>DUSAFWIZ_U32WG_VS_DUSAF4aree degradate non utilizzate e non vegetate</v>
      </c>
      <c r="K208">
        <f>_xlfn.XLOOKUP(Tabella1[[#This Row],[Concatenato]],'Original data'!D:D,'Original data'!E:E)</f>
        <v>3113</v>
      </c>
      <c r="L208" t="s">
        <v>630</v>
      </c>
    </row>
    <row r="209" spans="2:12" x14ac:dyDescent="0.3">
      <c r="B209" s="5" t="s">
        <v>8</v>
      </c>
      <c r="C209" t="s">
        <v>78</v>
      </c>
      <c r="D209" t="s">
        <v>586</v>
      </c>
      <c r="E209" t="str">
        <f>IF(Tabella1[[#This Row],[Data type]]= "GEOMORPHOLOGICAL DATA", "G", "N")</f>
        <v>G</v>
      </c>
      <c r="F209" t="s">
        <v>644</v>
      </c>
      <c r="G209" t="s">
        <v>82</v>
      </c>
      <c r="J209" t="str">
        <f t="shared" si="3"/>
        <v>geoambientaliOS_GEP_WGSorlo di scarpata modellata da processi morfogenetici concomitanti</v>
      </c>
      <c r="K209">
        <f>_xlfn.XLOOKUP(Tabella1[[#This Row],[Concatenato]],'Original data'!D:D,'Original data'!E:E)</f>
        <v>8815</v>
      </c>
      <c r="L209" t="s">
        <v>615</v>
      </c>
    </row>
    <row r="210" spans="2:12" x14ac:dyDescent="0.3">
      <c r="B210" s="5" t="s">
        <v>595</v>
      </c>
      <c r="C210" t="s">
        <v>262</v>
      </c>
      <c r="D210" t="s">
        <v>587</v>
      </c>
      <c r="E210" t="str">
        <f>IF(Tabella1[[#This Row],[Data type]]= "GEOMORPHOLOGICAL DATA", "G", "N")</f>
        <v>N</v>
      </c>
      <c r="G210" t="s">
        <v>310</v>
      </c>
      <c r="J210" t="str">
        <f t="shared" si="3"/>
        <v>DUSAFWIZ_U32WG_VS_DUSAF4Colture orticole a pieno campo</v>
      </c>
      <c r="K210">
        <f>_xlfn.XLOOKUP(Tabella1[[#This Row],[Concatenato]],'Original data'!D:D,'Original data'!E:E)</f>
        <v>3094</v>
      </c>
      <c r="L210" t="s">
        <v>630</v>
      </c>
    </row>
    <row r="211" spans="2:12" x14ac:dyDescent="0.3">
      <c r="B211" s="5" t="s">
        <v>595</v>
      </c>
      <c r="C211" t="s">
        <v>262</v>
      </c>
      <c r="D211" t="s">
        <v>587</v>
      </c>
      <c r="E211" t="str">
        <f>IF(Tabella1[[#This Row],[Data type]]= "GEOMORPHOLOGICAL DATA", "G", "N")</f>
        <v>N</v>
      </c>
      <c r="G211" t="s">
        <v>271</v>
      </c>
      <c r="J211" t="str">
        <f t="shared" si="3"/>
        <v>DUSAFWIZ_U32WG_VS_DUSAF4Boschi conifere a densit?á media e alta</v>
      </c>
      <c r="K211">
        <f>_xlfn.XLOOKUP(Tabella1[[#This Row],[Concatenato]],'Original data'!D:D,'Original data'!E:E)</f>
        <v>3093</v>
      </c>
      <c r="L211" t="s">
        <v>630</v>
      </c>
    </row>
    <row r="212" spans="2:12" x14ac:dyDescent="0.3">
      <c r="B212" s="5" t="s">
        <v>595</v>
      </c>
      <c r="C212" t="s">
        <v>262</v>
      </c>
      <c r="D212" t="s">
        <v>587</v>
      </c>
      <c r="E212" t="str">
        <f>IF(Tabella1[[#This Row],[Data type]]= "GEOMORPHOLOGICAL DATA", "G", "N")</f>
        <v>N</v>
      </c>
      <c r="G212" t="s">
        <v>291</v>
      </c>
      <c r="J212" t="str">
        <f t="shared" si="3"/>
        <v>DUSAFWIZ_U32WG_VS_DUSAF4tessuto residenziale continuo mediamente denso</v>
      </c>
      <c r="K212">
        <f>_xlfn.XLOOKUP(Tabella1[[#This Row],[Concatenato]],'Original data'!D:D,'Original data'!E:E)</f>
        <v>2865</v>
      </c>
      <c r="L212" t="s">
        <v>630</v>
      </c>
    </row>
    <row r="213" spans="2:12" x14ac:dyDescent="0.3">
      <c r="B213" s="5" t="s">
        <v>595</v>
      </c>
      <c r="C213" t="s">
        <v>262</v>
      </c>
      <c r="D213" t="s">
        <v>587</v>
      </c>
      <c r="E213" t="str">
        <f>IF(Tabella1[[#This Row],[Data type]]= "GEOMORPHOLOGICAL DATA", "G", "N")</f>
        <v>N</v>
      </c>
      <c r="G213" t="s">
        <v>288</v>
      </c>
      <c r="J213" t="str">
        <f t="shared" si="3"/>
        <v>DUSAFWIZ_U32WG_VS_DUSAF4Cantieri</v>
      </c>
      <c r="K213">
        <f>_xlfn.XLOOKUP(Tabella1[[#This Row],[Concatenato]],'Original data'!D:D,'Original data'!E:E)</f>
        <v>2814</v>
      </c>
      <c r="L213" t="s">
        <v>630</v>
      </c>
    </row>
    <row r="214" spans="2:12" x14ac:dyDescent="0.3">
      <c r="B214" s="5" t="s">
        <v>595</v>
      </c>
      <c r="C214" t="s">
        <v>262</v>
      </c>
      <c r="D214" t="s">
        <v>587</v>
      </c>
      <c r="E214" t="str">
        <f>IF(Tabella1[[#This Row],[Data type]]= "GEOMORPHOLOGICAL DATA", "G", "N")</f>
        <v>N</v>
      </c>
      <c r="G214" t="s">
        <v>284</v>
      </c>
      <c r="J214" t="str">
        <f t="shared" si="3"/>
        <v>DUSAFWIZ_U32WG_VS_DUSAF4Reti stradali e spazi accessori</v>
      </c>
      <c r="K214">
        <f>_xlfn.XLOOKUP(Tabella1[[#This Row],[Concatenato]],'Original data'!D:D,'Original data'!E:E)</f>
        <v>2671</v>
      </c>
      <c r="L214" t="s">
        <v>630</v>
      </c>
    </row>
    <row r="215" spans="2:12" x14ac:dyDescent="0.3">
      <c r="B215" s="5" t="s">
        <v>8</v>
      </c>
      <c r="C215" t="s">
        <v>78</v>
      </c>
      <c r="D215" t="s">
        <v>586</v>
      </c>
      <c r="E215" t="str">
        <f>IF(Tabella1[[#This Row],[Data type]]= "GEOMORPHOLOGICAL DATA", "G", "N")</f>
        <v>G</v>
      </c>
      <c r="F215" t="s">
        <v>636</v>
      </c>
      <c r="G215" t="s">
        <v>80</v>
      </c>
      <c r="J215" t="str">
        <f t="shared" si="3"/>
        <v>geoambientaliOS_GEP_WGSorlo di scarpata di degradazione o frana</v>
      </c>
      <c r="K215">
        <f>_xlfn.XLOOKUP(Tabella1[[#This Row],[Concatenato]],'Original data'!D:D,'Original data'!E:E)</f>
        <v>5391</v>
      </c>
      <c r="L215" t="s">
        <v>615</v>
      </c>
    </row>
    <row r="216" spans="2:12" x14ac:dyDescent="0.3">
      <c r="B216" s="5" t="s">
        <v>8</v>
      </c>
      <c r="C216" t="s">
        <v>57</v>
      </c>
      <c r="D216" t="s">
        <v>589</v>
      </c>
      <c r="E216" t="str">
        <f>IF(Tabella1[[#This Row],[Data type]]= "GEOMORPHOLOGICAL DATA", "G", "N")</f>
        <v>N</v>
      </c>
      <c r="G216" t="s">
        <v>59</v>
      </c>
      <c r="J216" t="str">
        <f t="shared" si="3"/>
        <v>geoambientaliSL_GEO_WGSConglomerato</v>
      </c>
      <c r="K216">
        <f>_xlfn.XLOOKUP(Tabella1[[#This Row],[Concatenato]],'Original data'!D:D,'Original data'!E:E)</f>
        <v>2484</v>
      </c>
      <c r="L216" t="s">
        <v>630</v>
      </c>
    </row>
    <row r="217" spans="2:12" x14ac:dyDescent="0.3">
      <c r="B217" s="5" t="s">
        <v>595</v>
      </c>
      <c r="C217" t="s">
        <v>262</v>
      </c>
      <c r="D217" t="s">
        <v>587</v>
      </c>
      <c r="E217" t="str">
        <f>IF(Tabella1[[#This Row],[Data type]]= "GEOMORPHOLOGICAL DATA", "G", "N")</f>
        <v>N</v>
      </c>
      <c r="G217" t="s">
        <v>263</v>
      </c>
      <c r="J217" t="str">
        <f t="shared" si="3"/>
        <v>DUSAFWIZ_U32WG_VS_DUSAF4praterie naturali d'alta quota assenza di specie arboree ed arbustive</v>
      </c>
      <c r="K217">
        <f>_xlfn.XLOOKUP(Tabella1[[#This Row],[Concatenato]],'Original data'!D:D,'Original data'!E:E)</f>
        <v>2416</v>
      </c>
      <c r="L217" t="s">
        <v>630</v>
      </c>
    </row>
    <row r="218" spans="2:12" x14ac:dyDescent="0.3">
      <c r="B218" s="5" t="s">
        <v>595</v>
      </c>
      <c r="C218" t="s">
        <v>262</v>
      </c>
      <c r="D218" t="s">
        <v>587</v>
      </c>
      <c r="E218" t="str">
        <f>IF(Tabella1[[#This Row],[Data type]]= "GEOMORPHOLOGICAL DATA", "G", "N")</f>
        <v>N</v>
      </c>
      <c r="G218" t="s">
        <v>280</v>
      </c>
      <c r="J218" t="str">
        <f t="shared" si="3"/>
        <v>DUSAFWIZ_U32WG_VS_DUSAF4boschi di latifoglie a densit?á bassa</v>
      </c>
      <c r="K218">
        <f>_xlfn.XLOOKUP(Tabella1[[#This Row],[Concatenato]],'Original data'!D:D,'Original data'!E:E)</f>
        <v>2336</v>
      </c>
      <c r="L218" t="s">
        <v>630</v>
      </c>
    </row>
    <row r="219" spans="2:12" x14ac:dyDescent="0.3">
      <c r="B219" t="s">
        <v>592</v>
      </c>
      <c r="C219" t="s">
        <v>426</v>
      </c>
      <c r="D219" t="s">
        <v>588</v>
      </c>
      <c r="E219" t="str">
        <f>IF(Tabella1[[#This Row],[Data type]]= "GEOMORPHOLOGICAL DATA", "G", "N")</f>
        <v>N</v>
      </c>
      <c r="G219" t="s">
        <v>344</v>
      </c>
      <c r="J219" t="str">
        <f t="shared" si="3"/>
        <v>Opere_Difesa_SuoloODS_TOT_lineesoglia</v>
      </c>
      <c r="K219">
        <f>_xlfn.XLOOKUP(Tabella1[[#This Row],[Concatenato]],'Original data'!D:D,'Original data'!E:E)</f>
        <v>2228</v>
      </c>
      <c r="L219" t="s">
        <v>630</v>
      </c>
    </row>
    <row r="220" spans="2:12" x14ac:dyDescent="0.3">
      <c r="B220" t="s">
        <v>592</v>
      </c>
      <c r="C220" t="s">
        <v>426</v>
      </c>
      <c r="D220" t="s">
        <v>586</v>
      </c>
      <c r="E220" t="str">
        <f>IF(Tabella1[[#This Row],[Data type]]= "GEOMORPHOLOGICAL DATA", "G", "N")</f>
        <v>G</v>
      </c>
      <c r="F220" t="s">
        <v>634</v>
      </c>
      <c r="G220" t="s">
        <v>370</v>
      </c>
      <c r="J220" t="str">
        <f t="shared" si="3"/>
        <v>Opere_Difesa_SuoloODS_TOT_lineedrenaggio profondo</v>
      </c>
      <c r="K220">
        <f>_xlfn.XLOOKUP(Tabella1[[#This Row],[Concatenato]],'Original data'!D:D,'Original data'!E:E)</f>
        <v>3914</v>
      </c>
      <c r="L220" t="s">
        <v>615</v>
      </c>
    </row>
    <row r="221" spans="2:12" x14ac:dyDescent="0.3">
      <c r="B221" s="5" t="s">
        <v>595</v>
      </c>
      <c r="C221" t="s">
        <v>262</v>
      </c>
      <c r="D221" t="s">
        <v>587</v>
      </c>
      <c r="E221" t="str">
        <f>IF(Tabella1[[#This Row],[Data type]]= "GEOMORPHOLOGICAL DATA", "G", "N")</f>
        <v>N</v>
      </c>
      <c r="G221" t="s">
        <v>312</v>
      </c>
      <c r="J221" t="str">
        <f t="shared" si="3"/>
        <v>DUSAFWIZ_U32WG_VS_DUSAF4altre legnose agrarie</v>
      </c>
      <c r="K221">
        <f>_xlfn.XLOOKUP(Tabella1[[#This Row],[Concatenato]],'Original data'!D:D,'Original data'!E:E)</f>
        <v>2127</v>
      </c>
      <c r="L221" t="s">
        <v>630</v>
      </c>
    </row>
    <row r="222" spans="2:12" x14ac:dyDescent="0.3">
      <c r="B222" s="5" t="s">
        <v>595</v>
      </c>
      <c r="C222" t="s">
        <v>262</v>
      </c>
      <c r="D222" t="s">
        <v>587</v>
      </c>
      <c r="E222" t="str">
        <f>IF(Tabella1[[#This Row],[Data type]]= "GEOMORPHOLOGICAL DATA", "G", "N")</f>
        <v>N</v>
      </c>
      <c r="G222" t="s">
        <v>281</v>
      </c>
      <c r="J222" t="str">
        <f t="shared" si="3"/>
        <v>DUSAFWIZ_U32WG_VS_DUSAF4boschi misti a densit?á media e alta</v>
      </c>
      <c r="K222">
        <f>_xlfn.XLOOKUP(Tabella1[[#This Row],[Concatenato]],'Original data'!D:D,'Original data'!E:E)</f>
        <v>2105</v>
      </c>
      <c r="L222" t="s">
        <v>630</v>
      </c>
    </row>
    <row r="223" spans="2:12" x14ac:dyDescent="0.3">
      <c r="B223" s="5" t="s">
        <v>595</v>
      </c>
      <c r="C223" t="s">
        <v>262</v>
      </c>
      <c r="D223" t="s">
        <v>587</v>
      </c>
      <c r="E223" t="str">
        <f>IF(Tabella1[[#This Row],[Data type]]= "GEOMORPHOLOGICAL DATA", "G", "N")</f>
        <v>N</v>
      </c>
      <c r="G223" t="s">
        <v>309</v>
      </c>
      <c r="J223" t="str">
        <f t="shared" si="3"/>
        <v>DUSAFWIZ_U32WG_VS_DUSAF4orti familiari</v>
      </c>
      <c r="K223">
        <f>_xlfn.XLOOKUP(Tabella1[[#This Row],[Concatenato]],'Original data'!D:D,'Original data'!E:E)</f>
        <v>2100</v>
      </c>
      <c r="L223" t="s">
        <v>630</v>
      </c>
    </row>
    <row r="224" spans="2:12" x14ac:dyDescent="0.3">
      <c r="B224" s="5" t="s">
        <v>8</v>
      </c>
      <c r="C224" t="s">
        <v>57</v>
      </c>
      <c r="D224" t="s">
        <v>589</v>
      </c>
      <c r="E224" t="str">
        <f>IF(Tabella1[[#This Row],[Data type]]= "GEOMORPHOLOGICAL DATA", "G", "N")</f>
        <v>N</v>
      </c>
      <c r="G224" t="s">
        <v>65</v>
      </c>
      <c r="J224" t="str">
        <f t="shared" si="3"/>
        <v>geoambientaliSL_GEO_WGSMarna e marna calcarea</v>
      </c>
      <c r="K224">
        <f>_xlfn.XLOOKUP(Tabella1[[#This Row],[Concatenato]],'Original data'!D:D,'Original data'!E:E)</f>
        <v>2084</v>
      </c>
      <c r="L224" t="s">
        <v>630</v>
      </c>
    </row>
    <row r="225" spans="2:12" x14ac:dyDescent="0.3">
      <c r="B225" s="5" t="s">
        <v>595</v>
      </c>
      <c r="C225" t="s">
        <v>262</v>
      </c>
      <c r="D225" t="s">
        <v>587</v>
      </c>
      <c r="E225" t="str">
        <f>IF(Tabella1[[#This Row],[Data type]]= "GEOMORPHOLOGICAL DATA", "G", "N")</f>
        <v>N</v>
      </c>
      <c r="G225" t="s">
        <v>289</v>
      </c>
      <c r="J225" t="str">
        <f t="shared" si="3"/>
        <v>DUSAFWIZ_U32WG_VS_DUSAF4Cimiteri</v>
      </c>
      <c r="K225">
        <f>_xlfn.XLOOKUP(Tabella1[[#This Row],[Concatenato]],'Original data'!D:D,'Original data'!E:E)</f>
        <v>2073</v>
      </c>
      <c r="L225" t="s">
        <v>630</v>
      </c>
    </row>
    <row r="226" spans="2:12" x14ac:dyDescent="0.3">
      <c r="B226" s="5" t="s">
        <v>8</v>
      </c>
      <c r="C226" t="s">
        <v>57</v>
      </c>
      <c r="D226" t="s">
        <v>589</v>
      </c>
      <c r="E226" t="str">
        <f>IF(Tabella1[[#This Row],[Data type]]= "GEOMORPHOLOGICAL DATA", "G", "N")</f>
        <v>N</v>
      </c>
      <c r="G226" t="s">
        <v>73</v>
      </c>
      <c r="J226" t="str">
        <f t="shared" si="3"/>
        <v>geoambientaliSL_GEO_WGSArgilla</v>
      </c>
      <c r="K226">
        <f>_xlfn.XLOOKUP(Tabella1[[#This Row],[Concatenato]],'Original data'!D:D,'Original data'!E:E)</f>
        <v>1851</v>
      </c>
      <c r="L226" t="s">
        <v>630</v>
      </c>
    </row>
    <row r="227" spans="2:12" x14ac:dyDescent="0.3">
      <c r="B227" s="5" t="s">
        <v>8</v>
      </c>
      <c r="C227" t="s">
        <v>57</v>
      </c>
      <c r="D227" t="s">
        <v>589</v>
      </c>
      <c r="E227" t="str">
        <f>IF(Tabella1[[#This Row],[Data type]]= "GEOMORPHOLOGICAL DATA", "G", "N")</f>
        <v>N</v>
      </c>
      <c r="G227" t="s">
        <v>58</v>
      </c>
      <c r="J227" t="str">
        <f t="shared" si="3"/>
        <v>geoambientaliSL_GEO_WGSRocce effusive</v>
      </c>
      <c r="K227">
        <f>_xlfn.XLOOKUP(Tabella1[[#This Row],[Concatenato]],'Original data'!D:D,'Original data'!E:E)</f>
        <v>1752</v>
      </c>
      <c r="L227" t="s">
        <v>630</v>
      </c>
    </row>
    <row r="228" spans="2:12" x14ac:dyDescent="0.3">
      <c r="B228" s="5" t="s">
        <v>595</v>
      </c>
      <c r="C228" t="s">
        <v>262</v>
      </c>
      <c r="D228" t="s">
        <v>587</v>
      </c>
      <c r="E228" t="str">
        <f>IF(Tabella1[[#This Row],[Data type]]= "GEOMORPHOLOGICAL DATA", "G", "N")</f>
        <v>N</v>
      </c>
      <c r="G228" t="s">
        <v>321</v>
      </c>
      <c r="J228" t="str">
        <f t="shared" si="3"/>
        <v>DUSAFWIZ_U32WG_VS_DUSAF4Colture floro-vivaistiche a pieno campo</v>
      </c>
      <c r="K228">
        <f>_xlfn.XLOOKUP(Tabella1[[#This Row],[Concatenato]],'Original data'!D:D,'Original data'!E:E)</f>
        <v>1672</v>
      </c>
      <c r="L228" t="s">
        <v>630</v>
      </c>
    </row>
    <row r="229" spans="2:12" x14ac:dyDescent="0.3">
      <c r="B229" s="5" t="s">
        <v>595</v>
      </c>
      <c r="C229" t="s">
        <v>262</v>
      </c>
      <c r="D229" t="s">
        <v>587</v>
      </c>
      <c r="E229" t="str">
        <f>IF(Tabella1[[#This Row],[Data type]]= "GEOMORPHOLOGICAL DATA", "G", "N")</f>
        <v>N</v>
      </c>
      <c r="G229" t="s">
        <v>320</v>
      </c>
      <c r="J229" t="str">
        <f t="shared" si="3"/>
        <v>DUSAFWIZ_U32WG_VS_DUSAF4oliveti</v>
      </c>
      <c r="K229">
        <f>_xlfn.XLOOKUP(Tabella1[[#This Row],[Concatenato]],'Original data'!D:D,'Original data'!E:E)</f>
        <v>1660</v>
      </c>
      <c r="L229" t="s">
        <v>630</v>
      </c>
    </row>
    <row r="230" spans="2:12" x14ac:dyDescent="0.3">
      <c r="B230" s="5" t="s">
        <v>8</v>
      </c>
      <c r="C230" t="s">
        <v>16</v>
      </c>
      <c r="D230" t="s">
        <v>586</v>
      </c>
      <c r="E230" t="str">
        <f>IF(Tabella1[[#This Row],[Data type]]= "GEOMORPHOLOGICAL DATA", "G", "N")</f>
        <v>G</v>
      </c>
      <c r="F230" t="s">
        <v>644</v>
      </c>
      <c r="G230" t="s">
        <v>19</v>
      </c>
      <c r="J230" t="str">
        <f t="shared" si="3"/>
        <v>geoambientaliDS_GEO_WGSalluvione</v>
      </c>
      <c r="K230">
        <f>_xlfn.XLOOKUP(Tabella1[[#This Row],[Concatenato]],'Original data'!D:D,'Original data'!E:E)</f>
        <v>2799</v>
      </c>
      <c r="L230" t="s">
        <v>615</v>
      </c>
    </row>
    <row r="231" spans="2:12" x14ac:dyDescent="0.3">
      <c r="B231" s="5" t="s">
        <v>591</v>
      </c>
      <c r="C231" t="s">
        <v>92</v>
      </c>
      <c r="D231" t="s">
        <v>586</v>
      </c>
      <c r="E231" t="str">
        <f>IF(Tabella1[[#This Row],[Data type]]= "GEOMORPHOLOGICAL DATA", "G", "N")</f>
        <v>G</v>
      </c>
      <c r="F231" t="s">
        <v>633</v>
      </c>
      <c r="G231" t="s">
        <v>103</v>
      </c>
      <c r="J231" t="str">
        <f t="shared" si="3"/>
        <v>basi_ambientali_pianuraWIZ_U32WG_VS_SIT_BASI_ELELINOrlo di terrazzo di erosione fluviotorrentizia evidente</v>
      </c>
      <c r="K231">
        <f>_xlfn.XLOOKUP(Tabella1[[#This Row],[Concatenato]],'Original data'!D:D,'Original data'!E:E)</f>
        <v>2675</v>
      </c>
      <c r="L231" t="s">
        <v>615</v>
      </c>
    </row>
    <row r="232" spans="2:12" x14ac:dyDescent="0.3">
      <c r="B232" s="5" t="s">
        <v>595</v>
      </c>
      <c r="C232" t="s">
        <v>262</v>
      </c>
      <c r="D232" t="s">
        <v>587</v>
      </c>
      <c r="E232" t="str">
        <f>IF(Tabella1[[#This Row],[Data type]]= "GEOMORPHOLOGICAL DATA", "G", "N")</f>
        <v>N</v>
      </c>
      <c r="G232" t="s">
        <v>283</v>
      </c>
      <c r="J232" t="str">
        <f t="shared" si="3"/>
        <v>DUSAFWIZ_U32WG_VS_DUSAF4vegetazione dei greti</v>
      </c>
      <c r="K232">
        <f>_xlfn.XLOOKUP(Tabella1[[#This Row],[Concatenato]],'Original data'!D:D,'Original data'!E:E)</f>
        <v>1512</v>
      </c>
      <c r="L232" t="s">
        <v>630</v>
      </c>
    </row>
    <row r="233" spans="2:12" x14ac:dyDescent="0.3">
      <c r="B233" s="5" t="s">
        <v>595</v>
      </c>
      <c r="C233" t="s">
        <v>262</v>
      </c>
      <c r="D233" t="s">
        <v>587</v>
      </c>
      <c r="E233" t="str">
        <f>IF(Tabella1[[#This Row],[Data type]]= "GEOMORPHOLOGICAL DATA", "G", "N")</f>
        <v>N</v>
      </c>
      <c r="G233" t="s">
        <v>269</v>
      </c>
      <c r="J233" t="str">
        <f t="shared" si="3"/>
        <v>DUSAFWIZ_U32WG_VS_DUSAF4praterie naturali d'alta quota con presenza di specie arboree ed arbustive sparse</v>
      </c>
      <c r="K233">
        <f>_xlfn.XLOOKUP(Tabella1[[#This Row],[Concatenato]],'Original data'!D:D,'Original data'!E:E)</f>
        <v>1501</v>
      </c>
      <c r="L233" t="s">
        <v>630</v>
      </c>
    </row>
    <row r="234" spans="2:12" x14ac:dyDescent="0.3">
      <c r="B234" s="5" t="s">
        <v>595</v>
      </c>
      <c r="C234" t="s">
        <v>262</v>
      </c>
      <c r="D234" t="s">
        <v>587</v>
      </c>
      <c r="E234" t="str">
        <f>IF(Tabella1[[#This Row],[Data type]]= "GEOMORPHOLOGICAL DATA", "G", "N")</f>
        <v>N</v>
      </c>
      <c r="G234" t="s">
        <v>275</v>
      </c>
      <c r="J234" t="str">
        <f t="shared" si="3"/>
        <v>DUSAFWIZ_U32WG_VS_DUSAF4spiagge, dune ed alvei ghiaiosi</v>
      </c>
      <c r="K234">
        <f>_xlfn.XLOOKUP(Tabella1[[#This Row],[Concatenato]],'Original data'!D:D,'Original data'!E:E)</f>
        <v>1418</v>
      </c>
      <c r="L234" t="s">
        <v>630</v>
      </c>
    </row>
    <row r="235" spans="2:12" x14ac:dyDescent="0.3">
      <c r="B235" s="5" t="s">
        <v>595</v>
      </c>
      <c r="C235" t="s">
        <v>262</v>
      </c>
      <c r="D235" t="s">
        <v>587</v>
      </c>
      <c r="E235" t="str">
        <f>IF(Tabella1[[#This Row],[Data type]]= "GEOMORPHOLOGICAL DATA", "G", "N")</f>
        <v>N</v>
      </c>
      <c r="G235" t="s">
        <v>313</v>
      </c>
      <c r="J235" t="str">
        <f t="shared" si="3"/>
        <v>DUSAFWIZ_U32WG_VS_DUSAF4Colture orticole protette.</v>
      </c>
      <c r="K235">
        <f>_xlfn.XLOOKUP(Tabella1[[#This Row],[Concatenato]],'Original data'!D:D,'Original data'!E:E)</f>
        <v>1386</v>
      </c>
      <c r="L235" t="s">
        <v>630</v>
      </c>
    </row>
    <row r="236" spans="2:12" x14ac:dyDescent="0.3">
      <c r="B236" t="s">
        <v>592</v>
      </c>
      <c r="C236" t="s">
        <v>443</v>
      </c>
      <c r="D236" t="s">
        <v>588</v>
      </c>
      <c r="E236" t="str">
        <f>IF(Tabella1[[#This Row],[Data type]]= "GEOMORPHOLOGICAL DATA", "G", "N")</f>
        <v>N</v>
      </c>
      <c r="G236" t="s">
        <v>344</v>
      </c>
      <c r="J236" t="str">
        <f t="shared" si="3"/>
        <v>Opere_Difesa_SuoloODS_TOT_puntisoglia</v>
      </c>
      <c r="K236">
        <f>_xlfn.XLOOKUP(Tabella1[[#This Row],[Concatenato]],'Original data'!D:D,'Original data'!E:E)</f>
        <v>1354</v>
      </c>
      <c r="L236" t="s">
        <v>630</v>
      </c>
    </row>
    <row r="237" spans="2:12" x14ac:dyDescent="0.3">
      <c r="B237" s="5" t="s">
        <v>595</v>
      </c>
      <c r="C237" t="s">
        <v>262</v>
      </c>
      <c r="D237" t="s">
        <v>587</v>
      </c>
      <c r="E237" t="str">
        <f>IF(Tabella1[[#This Row],[Data type]]= "GEOMORPHOLOGICAL DATA", "G", "N")</f>
        <v>N</v>
      </c>
      <c r="G237" t="s">
        <v>304</v>
      </c>
      <c r="J237" t="str">
        <f t="shared" si="3"/>
        <v>DUSAFWIZ_U32WG_VS_DUSAF4seminativi arborati</v>
      </c>
      <c r="K237">
        <f>_xlfn.XLOOKUP(Tabella1[[#This Row],[Concatenato]],'Original data'!D:D,'Original data'!E:E)</f>
        <v>1346</v>
      </c>
      <c r="L237" t="s">
        <v>630</v>
      </c>
    </row>
    <row r="238" spans="2:12" x14ac:dyDescent="0.3">
      <c r="B238" s="5" t="s">
        <v>8</v>
      </c>
      <c r="C238" t="s">
        <v>57</v>
      </c>
      <c r="D238" t="s">
        <v>589</v>
      </c>
      <c r="E238" t="str">
        <f>IF(Tabella1[[#This Row],[Data type]]= "GEOMORPHOLOGICAL DATA", "G", "N")</f>
        <v>N</v>
      </c>
      <c r="G238" t="s">
        <v>159</v>
      </c>
      <c r="J238" t="str">
        <f t="shared" si="3"/>
        <v>geoambientaliSL_GEO_WGSquarziti</v>
      </c>
      <c r="K238">
        <f>_xlfn.XLOOKUP(Tabella1[[#This Row],[Concatenato]],'Original data'!D:D,'Original data'!E:E)</f>
        <v>1331</v>
      </c>
      <c r="L238" t="s">
        <v>630</v>
      </c>
    </row>
    <row r="239" spans="2:12" x14ac:dyDescent="0.3">
      <c r="B239" s="5" t="s">
        <v>595</v>
      </c>
      <c r="C239" t="s">
        <v>262</v>
      </c>
      <c r="D239" t="s">
        <v>587</v>
      </c>
      <c r="E239" t="str">
        <f>IF(Tabella1[[#This Row],[Data type]]= "GEOMORPHOLOGICAL DATA", "G", "N")</f>
        <v>N</v>
      </c>
      <c r="G239" t="s">
        <v>264</v>
      </c>
      <c r="J239" t="str">
        <f t="shared" si="3"/>
        <v>DUSAFWIZ_U32WG_VS_DUSAF4Boschi di conifere a densit?á bassa</v>
      </c>
      <c r="K239">
        <f>_xlfn.XLOOKUP(Tabella1[[#This Row],[Concatenato]],'Original data'!D:D,'Original data'!E:E)</f>
        <v>1302</v>
      </c>
      <c r="L239" t="s">
        <v>630</v>
      </c>
    </row>
    <row r="240" spans="2:12" x14ac:dyDescent="0.3">
      <c r="B240" s="5" t="s">
        <v>595</v>
      </c>
      <c r="C240" t="s">
        <v>262</v>
      </c>
      <c r="D240" t="s">
        <v>587</v>
      </c>
      <c r="E240" t="str">
        <f>IF(Tabella1[[#This Row],[Data type]]= "GEOMORPHOLOGICAL DATA", "G", "N")</f>
        <v>N</v>
      </c>
      <c r="G240" t="s">
        <v>325</v>
      </c>
      <c r="J240" t="str">
        <f t="shared" si="3"/>
        <v>DUSAFWIZ_U32WG_VS_DUSAF4risaie</v>
      </c>
      <c r="K240">
        <f>_xlfn.XLOOKUP(Tabella1[[#This Row],[Concatenato]],'Original data'!D:D,'Original data'!E:E)</f>
        <v>1274</v>
      </c>
      <c r="L240" t="s">
        <v>630</v>
      </c>
    </row>
    <row r="241" spans="2:12" x14ac:dyDescent="0.3">
      <c r="B241" s="5" t="s">
        <v>595</v>
      </c>
      <c r="C241" t="s">
        <v>257</v>
      </c>
      <c r="D241" t="s">
        <v>586</v>
      </c>
      <c r="E241" t="str">
        <f>IF(Tabella1[[#This Row],[Data type]]= "GEOMORPHOLOGICAL DATA", "G", "N")</f>
        <v>G</v>
      </c>
      <c r="F241" t="s">
        <v>644</v>
      </c>
      <c r="G241" t="s">
        <v>254</v>
      </c>
      <c r="J241" t="str">
        <f t="shared" si="3"/>
        <v>DUSAFaree_fluviali_e_baciniBacini idrici naturali</v>
      </c>
      <c r="K241">
        <f>_xlfn.XLOOKUP(Tabella1[[#This Row],[Concatenato]],'Original data'!D:D,'Original data'!E:E)</f>
        <v>2172</v>
      </c>
      <c r="L241" t="s">
        <v>615</v>
      </c>
    </row>
    <row r="242" spans="2:12" x14ac:dyDescent="0.3">
      <c r="B242" s="5" t="s">
        <v>595</v>
      </c>
      <c r="C242" t="s">
        <v>262</v>
      </c>
      <c r="D242" t="s">
        <v>586</v>
      </c>
      <c r="E242" t="str">
        <f>IF(Tabella1[[#This Row],[Data type]]= "GEOMORPHOLOGICAL DATA", "G", "N")</f>
        <v>G</v>
      </c>
      <c r="F242" t="s">
        <v>644</v>
      </c>
      <c r="G242" t="s">
        <v>254</v>
      </c>
      <c r="J242" t="str">
        <f t="shared" si="3"/>
        <v>DUSAFWIZ_U32WG_VS_DUSAF4Bacini idrici naturali</v>
      </c>
      <c r="K242">
        <f>_xlfn.XLOOKUP(Tabella1[[#This Row],[Concatenato]],'Original data'!D:D,'Original data'!E:E)</f>
        <v>2172</v>
      </c>
      <c r="L242" t="s">
        <v>615</v>
      </c>
    </row>
    <row r="243" spans="2:12" x14ac:dyDescent="0.3">
      <c r="B243" s="5" t="s">
        <v>591</v>
      </c>
      <c r="C243" t="s">
        <v>92</v>
      </c>
      <c r="D243" t="s">
        <v>586</v>
      </c>
      <c r="E243" t="str">
        <f>IF(Tabella1[[#This Row],[Data type]]= "GEOMORPHOLOGICAL DATA", "G", "N")</f>
        <v>G</v>
      </c>
      <c r="F243" t="s">
        <v>633</v>
      </c>
      <c r="G243" t="s">
        <v>108</v>
      </c>
      <c r="J243" t="str">
        <f t="shared" si="3"/>
        <v>basi_ambientali_pianuraWIZ_U32WG_VS_SIT_BASI_ELELINorlo di terrazzo di erosione fluviotorrentizia smussato</v>
      </c>
      <c r="K243">
        <f>_xlfn.XLOOKUP(Tabella1[[#This Row],[Concatenato]],'Original data'!D:D,'Original data'!E:E)</f>
        <v>1887</v>
      </c>
      <c r="L243" t="s">
        <v>615</v>
      </c>
    </row>
    <row r="244" spans="2:12" x14ac:dyDescent="0.3">
      <c r="B244" s="5" t="s">
        <v>8</v>
      </c>
      <c r="C244" t="s">
        <v>57</v>
      </c>
      <c r="D244" t="s">
        <v>589</v>
      </c>
      <c r="E244" t="str">
        <f>IF(Tabella1[[#This Row],[Data type]]= "GEOMORPHOLOGICAL DATA", "G", "N")</f>
        <v>N</v>
      </c>
      <c r="G244" t="s">
        <v>69</v>
      </c>
      <c r="J244" t="str">
        <f t="shared" si="3"/>
        <v>geoambientaliSL_GEO_WGSRocce metamorfiche carbonatiche</v>
      </c>
      <c r="K244">
        <f>_xlfn.XLOOKUP(Tabella1[[#This Row],[Concatenato]],'Original data'!D:D,'Original data'!E:E)</f>
        <v>849</v>
      </c>
      <c r="L244" t="s">
        <v>630</v>
      </c>
    </row>
    <row r="245" spans="2:12" x14ac:dyDescent="0.3">
      <c r="B245" s="5" t="s">
        <v>8</v>
      </c>
      <c r="C245" t="s">
        <v>57</v>
      </c>
      <c r="D245" t="s">
        <v>589</v>
      </c>
      <c r="E245" t="str">
        <f>IF(Tabella1[[#This Row],[Data type]]= "GEOMORPHOLOGICAL DATA", "G", "N")</f>
        <v>N</v>
      </c>
      <c r="G245" t="s">
        <v>70</v>
      </c>
      <c r="J245" t="str">
        <f t="shared" si="3"/>
        <v>geoambientaliSL_GEO_WGSRocce filoniane</v>
      </c>
      <c r="K245">
        <f>_xlfn.XLOOKUP(Tabella1[[#This Row],[Concatenato]],'Original data'!D:D,'Original data'!E:E)</f>
        <v>817</v>
      </c>
      <c r="L245" t="s">
        <v>630</v>
      </c>
    </row>
    <row r="246" spans="2:12" x14ac:dyDescent="0.3">
      <c r="B246" t="s">
        <v>592</v>
      </c>
      <c r="C246" t="s">
        <v>426</v>
      </c>
      <c r="D246" t="s">
        <v>586</v>
      </c>
      <c r="E246" t="str">
        <f>IF(Tabella1[[#This Row],[Data type]]= "GEOMORPHOLOGICAL DATA", "G", "N")</f>
        <v>G</v>
      </c>
      <c r="F246" t="s">
        <v>634</v>
      </c>
      <c r="G246" t="s">
        <v>373</v>
      </c>
      <c r="J246" t="str">
        <f t="shared" si="3"/>
        <v>Opere_Difesa_SuoloODS_TOT_lineemuro</v>
      </c>
      <c r="K246">
        <f>_xlfn.XLOOKUP(Tabella1[[#This Row],[Concatenato]],'Original data'!D:D,'Original data'!E:E)</f>
        <v>1524</v>
      </c>
      <c r="L246" t="s">
        <v>615</v>
      </c>
    </row>
    <row r="247" spans="2:12" x14ac:dyDescent="0.3">
      <c r="B247" t="s">
        <v>592</v>
      </c>
      <c r="C247" t="s">
        <v>425</v>
      </c>
      <c r="D247" t="s">
        <v>586</v>
      </c>
      <c r="E247" t="str">
        <f>IF(Tabella1[[#This Row],[Data type]]= "GEOMORPHOLOGICAL DATA", "G", "N")</f>
        <v>G</v>
      </c>
      <c r="F247" t="s">
        <v>634</v>
      </c>
      <c r="G247" t="s">
        <v>339</v>
      </c>
      <c r="J247" t="str">
        <f t="shared" si="3"/>
        <v>Opere_Difesa_SuoloODS_TOT_areeselciatone</v>
      </c>
      <c r="K247">
        <f>_xlfn.XLOOKUP(Tabella1[[#This Row],[Concatenato]],'Original data'!D:D,'Original data'!E:E)</f>
        <v>1496</v>
      </c>
      <c r="L247" t="s">
        <v>615</v>
      </c>
    </row>
    <row r="248" spans="2:12" x14ac:dyDescent="0.3">
      <c r="B248" s="5" t="s">
        <v>595</v>
      </c>
      <c r="C248" t="s">
        <v>262</v>
      </c>
      <c r="D248" t="s">
        <v>587</v>
      </c>
      <c r="E248" t="str">
        <f>IF(Tabella1[[#This Row],[Data type]]= "GEOMORPHOLOGICAL DATA", "G", "N")</f>
        <v>N</v>
      </c>
      <c r="G248" t="s">
        <v>279</v>
      </c>
      <c r="J248" t="str">
        <f t="shared" si="3"/>
        <v>DUSAFWIZ_U32WG_VS_DUSAF4Impianti tecnologici</v>
      </c>
      <c r="K248">
        <f>_xlfn.XLOOKUP(Tabella1[[#This Row],[Concatenato]],'Original data'!D:D,'Original data'!E:E)</f>
        <v>785</v>
      </c>
      <c r="L248" t="s">
        <v>630</v>
      </c>
    </row>
    <row r="249" spans="2:12" x14ac:dyDescent="0.3">
      <c r="B249" s="5" t="s">
        <v>8</v>
      </c>
      <c r="C249" t="s">
        <v>57</v>
      </c>
      <c r="D249" t="s">
        <v>589</v>
      </c>
      <c r="E249" t="str">
        <f>IF(Tabella1[[#This Row],[Data type]]= "GEOMORPHOLOGICAL DATA", "G", "N")</f>
        <v>N</v>
      </c>
      <c r="G249" t="s">
        <v>77</v>
      </c>
      <c r="J249" t="str">
        <f t="shared" si="3"/>
        <v>geoambientaliSL_GEO_WGSSerpentiniti e altre rocce metamorfiche</v>
      </c>
      <c r="K249">
        <f>_xlfn.XLOOKUP(Tabella1[[#This Row],[Concatenato]],'Original data'!D:D,'Original data'!E:E)</f>
        <v>754</v>
      </c>
      <c r="L249" t="s">
        <v>630</v>
      </c>
    </row>
    <row r="250" spans="2:12" x14ac:dyDescent="0.3">
      <c r="B250" s="5" t="s">
        <v>8</v>
      </c>
      <c r="C250" t="s">
        <v>11</v>
      </c>
      <c r="D250" t="s">
        <v>586</v>
      </c>
      <c r="E250" t="str">
        <f>IF(Tabella1[[#This Row],[Data type]]= "GEOMORPHOLOGICAL DATA", "G", "N")</f>
        <v>G</v>
      </c>
      <c r="F250" t="s">
        <v>644</v>
      </c>
      <c r="G250" t="s">
        <v>2</v>
      </c>
      <c r="J250" t="str">
        <f t="shared" si="3"/>
        <v>geoambientaliAG_GEO_WGSambito a forte dimamismo</v>
      </c>
      <c r="K250">
        <f>_xlfn.XLOOKUP(Tabella1[[#This Row],[Concatenato]],'Original data'!D:D,'Original data'!E:E)</f>
        <v>1259</v>
      </c>
      <c r="L250" t="s">
        <v>615</v>
      </c>
    </row>
    <row r="251" spans="2:12" x14ac:dyDescent="0.3">
      <c r="B251" t="s">
        <v>592</v>
      </c>
      <c r="C251" t="s">
        <v>426</v>
      </c>
      <c r="D251" t="s">
        <v>586</v>
      </c>
      <c r="E251" t="str">
        <f>IF(Tabella1[[#This Row],[Data type]]= "GEOMORPHOLOGICAL DATA", "G", "N")</f>
        <v>G</v>
      </c>
      <c r="F251" t="s">
        <v>634</v>
      </c>
      <c r="G251" t="s">
        <v>348</v>
      </c>
      <c r="J251" t="str">
        <f t="shared" si="3"/>
        <v>Opere_Difesa_SuoloODS_TOT_lineemuratura</v>
      </c>
      <c r="K251">
        <f>_xlfn.XLOOKUP(Tabella1[[#This Row],[Concatenato]],'Original data'!D:D,'Original data'!E:E)</f>
        <v>1257</v>
      </c>
      <c r="L251" t="s">
        <v>615</v>
      </c>
    </row>
    <row r="252" spans="2:12" x14ac:dyDescent="0.3">
      <c r="B252" t="s">
        <v>592</v>
      </c>
      <c r="C252" t="s">
        <v>426</v>
      </c>
      <c r="D252" t="s">
        <v>586</v>
      </c>
      <c r="E252" t="str">
        <f>IF(Tabella1[[#This Row],[Data type]]= "GEOMORPHOLOGICAL DATA", "G", "N")</f>
        <v>G</v>
      </c>
      <c r="F252" t="s">
        <v>634</v>
      </c>
      <c r="G252" t="s">
        <v>371</v>
      </c>
      <c r="J252" t="str">
        <f t="shared" si="3"/>
        <v>Opere_Difesa_SuoloODS_TOT_lineegabbionata</v>
      </c>
      <c r="K252">
        <f>_xlfn.XLOOKUP(Tabella1[[#This Row],[Concatenato]],'Original data'!D:D,'Original data'!E:E)</f>
        <v>1221</v>
      </c>
      <c r="L252" t="s">
        <v>615</v>
      </c>
    </row>
    <row r="253" spans="2:12" x14ac:dyDescent="0.3">
      <c r="B253" s="5" t="s">
        <v>593</v>
      </c>
      <c r="C253" t="s">
        <v>252</v>
      </c>
      <c r="D253" t="s">
        <v>588</v>
      </c>
      <c r="E253" t="str">
        <f>IF(Tabella1[[#This Row],[Data type]]= "GEOMORPHOLOGICAL DATA", "G", "N")</f>
        <v>N</v>
      </c>
      <c r="G253" t="s">
        <v>250</v>
      </c>
      <c r="J253" t="str">
        <f t="shared" si="3"/>
        <v>altri_datiWIZ_U32WG_VS_SIT_GEO_250K_FDISLOCAZIONI PRINCIP</v>
      </c>
      <c r="K253">
        <f>_xlfn.XLOOKUP(Tabella1[[#This Row],[Concatenato]],'Original data'!D:D,'Original data'!E:E)</f>
        <v>667</v>
      </c>
      <c r="L253" t="s">
        <v>630</v>
      </c>
    </row>
    <row r="254" spans="2:12" x14ac:dyDescent="0.3">
      <c r="B254" t="s">
        <v>592</v>
      </c>
      <c r="C254" t="s">
        <v>443</v>
      </c>
      <c r="D254" t="s">
        <v>586</v>
      </c>
      <c r="E254" t="str">
        <f>IF(Tabella1[[#This Row],[Data type]]= "GEOMORPHOLOGICAL DATA", "G", "N")</f>
        <v>G</v>
      </c>
      <c r="F254" t="s">
        <v>634</v>
      </c>
      <c r="G254" t="s">
        <v>339</v>
      </c>
      <c r="J254" t="str">
        <f t="shared" si="3"/>
        <v>Opere_Difesa_SuoloODS_TOT_puntiselciatone</v>
      </c>
      <c r="K254">
        <f>_xlfn.XLOOKUP(Tabella1[[#This Row],[Concatenato]],'Original data'!D:D,'Original data'!E:E)</f>
        <v>817</v>
      </c>
      <c r="L254" t="s">
        <v>615</v>
      </c>
    </row>
    <row r="255" spans="2:12" x14ac:dyDescent="0.3">
      <c r="B255" t="s">
        <v>592</v>
      </c>
      <c r="C255" t="s">
        <v>426</v>
      </c>
      <c r="D255" t="s">
        <v>586</v>
      </c>
      <c r="E255" t="str">
        <f>IF(Tabella1[[#This Row],[Data type]]= "GEOMORPHOLOGICAL DATA", "G", "N")</f>
        <v>G</v>
      </c>
      <c r="F255" t="s">
        <v>634</v>
      </c>
      <c r="G255" t="s">
        <v>413</v>
      </c>
      <c r="J255" t="str">
        <f t="shared" si="3"/>
        <v>Opere_Difesa_SuoloODS_TOT_lineemuro in cemento armato</v>
      </c>
      <c r="K255">
        <f>_xlfn.XLOOKUP(Tabella1[[#This Row],[Concatenato]],'Original data'!D:D,'Original data'!E:E)</f>
        <v>811</v>
      </c>
      <c r="L255" t="s">
        <v>615</v>
      </c>
    </row>
    <row r="256" spans="2:12" x14ac:dyDescent="0.3">
      <c r="B256" s="5" t="s">
        <v>595</v>
      </c>
      <c r="C256" t="s">
        <v>262</v>
      </c>
      <c r="D256" t="s">
        <v>587</v>
      </c>
      <c r="E256" t="str">
        <f>IF(Tabella1[[#This Row],[Data type]]= "GEOMORPHOLOGICAL DATA", "G", "N")</f>
        <v>N</v>
      </c>
      <c r="G256" t="s">
        <v>299</v>
      </c>
      <c r="J256" t="str">
        <f t="shared" si="3"/>
        <v>DUSAFWIZ_U32WG_VS_DUSAF4vegetazione delle aree umide interne e delle torbiere</v>
      </c>
      <c r="K256">
        <f>_xlfn.XLOOKUP(Tabella1[[#This Row],[Concatenato]],'Original data'!D:D,'Original data'!E:E)</f>
        <v>592</v>
      </c>
      <c r="L256" t="s">
        <v>630</v>
      </c>
    </row>
    <row r="257" spans="2:12" x14ac:dyDescent="0.3">
      <c r="B257" t="s">
        <v>592</v>
      </c>
      <c r="C257" t="s">
        <v>426</v>
      </c>
      <c r="D257" t="s">
        <v>586</v>
      </c>
      <c r="E257" t="str">
        <f>IF(Tabella1[[#This Row],[Data type]]= "GEOMORPHOLOGICAL DATA", "G", "N")</f>
        <v>G</v>
      </c>
      <c r="F257" t="s">
        <v>634</v>
      </c>
      <c r="G257" t="s">
        <v>337</v>
      </c>
      <c r="J257" t="str">
        <f t="shared" si="3"/>
        <v>Opere_Difesa_SuoloODS_TOT_lineeviminata e palizzata viva</v>
      </c>
      <c r="K257">
        <f>_xlfn.XLOOKUP(Tabella1[[#This Row],[Concatenato]],'Original data'!D:D,'Original data'!E:E)</f>
        <v>675</v>
      </c>
      <c r="L257" t="s">
        <v>615</v>
      </c>
    </row>
    <row r="258" spans="2:12" x14ac:dyDescent="0.3">
      <c r="B258" s="5" t="s">
        <v>595</v>
      </c>
      <c r="C258" t="s">
        <v>262</v>
      </c>
      <c r="D258" t="s">
        <v>587</v>
      </c>
      <c r="E258" t="str">
        <f>IF(Tabella1[[#This Row],[Data type]]= "GEOMORPHOLOGICAL DATA", "G", "N")</f>
        <v>N</v>
      </c>
      <c r="G258" t="s">
        <v>317</v>
      </c>
      <c r="J258" t="str">
        <f t="shared" ref="J258:J321" si="4">_xlfn.CONCAT(B258,C258,G258)</f>
        <v>DUSAFWIZ_U32WG_VS_DUSAF4tessuto residenziale denso</v>
      </c>
      <c r="K258">
        <f>_xlfn.XLOOKUP(Tabella1[[#This Row],[Concatenato]],'Original data'!D:D,'Original data'!E:E)</f>
        <v>544</v>
      </c>
      <c r="L258" t="s">
        <v>630</v>
      </c>
    </row>
    <row r="259" spans="2:12" x14ac:dyDescent="0.3">
      <c r="B259" s="3" t="s">
        <v>594</v>
      </c>
      <c r="C259" t="s">
        <v>331</v>
      </c>
      <c r="D259" t="s">
        <v>586</v>
      </c>
      <c r="E259" t="str">
        <f>IF(Tabella1[[#This Row],[Data type]]= "GEOMORPHOLOGICAL DATA", "G", "N")</f>
        <v>G</v>
      </c>
      <c r="F259" t="s">
        <v>636</v>
      </c>
      <c r="G259" s="2" t="s">
        <v>496</v>
      </c>
      <c r="H259" s="2"/>
      <c r="J259" t="str">
        <f t="shared" si="4"/>
        <v>dissesti_IFFIfr_iffi0 (non determinato)</v>
      </c>
      <c r="K259">
        <f>_xlfn.XLOOKUP(Tabella1[[#This Row],[Concatenato]],'Original data'!D:D,'Original data'!E:E)</f>
        <v>672</v>
      </c>
      <c r="L259" t="s">
        <v>615</v>
      </c>
    </row>
    <row r="260" spans="2:12" x14ac:dyDescent="0.3">
      <c r="B260" t="s">
        <v>592</v>
      </c>
      <c r="C260" t="s">
        <v>443</v>
      </c>
      <c r="D260" t="s">
        <v>588</v>
      </c>
      <c r="E260" t="str">
        <f>IF(Tabella1[[#This Row],[Data type]]= "GEOMORPHOLOGICAL DATA", "G", "N")</f>
        <v>N</v>
      </c>
      <c r="G260" t="s">
        <v>405</v>
      </c>
      <c r="J260" t="str">
        <f t="shared" si="4"/>
        <v>Opere_Difesa_SuoloODS_TOT_puntisondaggio geognostico</v>
      </c>
      <c r="K260">
        <f>_xlfn.XLOOKUP(Tabella1[[#This Row],[Concatenato]],'Original data'!D:D,'Original data'!E:E)</f>
        <v>528</v>
      </c>
      <c r="L260" t="s">
        <v>630</v>
      </c>
    </row>
    <row r="261" spans="2:12" x14ac:dyDescent="0.3">
      <c r="B261" s="5" t="s">
        <v>593</v>
      </c>
      <c r="C261" t="s">
        <v>252</v>
      </c>
      <c r="D261" t="s">
        <v>588</v>
      </c>
      <c r="E261" t="str">
        <f>IF(Tabella1[[#This Row],[Data type]]= "GEOMORPHOLOGICAL DATA", "G", "N")</f>
        <v>N</v>
      </c>
      <c r="G261" t="s">
        <v>251</v>
      </c>
      <c r="J261" t="str">
        <f t="shared" si="4"/>
        <v>altri_datiWIZ_U32WG_VS_SIT_GEO_250K_FSOVRASCORRIMENTI</v>
      </c>
      <c r="K261">
        <f>_xlfn.XLOOKUP(Tabella1[[#This Row],[Concatenato]],'Original data'!D:D,'Original data'!E:E)</f>
        <v>444</v>
      </c>
      <c r="L261" t="s">
        <v>630</v>
      </c>
    </row>
    <row r="262" spans="2:12" x14ac:dyDescent="0.3">
      <c r="B262" t="s">
        <v>592</v>
      </c>
      <c r="C262" t="s">
        <v>425</v>
      </c>
      <c r="D262" t="s">
        <v>588</v>
      </c>
      <c r="E262" t="str">
        <f>IF(Tabella1[[#This Row],[Data type]]= "GEOMORPHOLOGICAL DATA", "G", "N")</f>
        <v>N</v>
      </c>
      <c r="G262" t="s">
        <v>352</v>
      </c>
      <c r="J262" t="str">
        <f t="shared" si="4"/>
        <v>Opere_Difesa_SuoloODS_TOT_areerete</v>
      </c>
      <c r="K262">
        <f>_xlfn.XLOOKUP(Tabella1[[#This Row],[Concatenato]],'Original data'!D:D,'Original data'!E:E)</f>
        <v>417</v>
      </c>
      <c r="L262" t="s">
        <v>630</v>
      </c>
    </row>
    <row r="263" spans="2:12" x14ac:dyDescent="0.3">
      <c r="B263" t="s">
        <v>592</v>
      </c>
      <c r="C263" t="s">
        <v>425</v>
      </c>
      <c r="D263" t="s">
        <v>588</v>
      </c>
      <c r="E263" t="str">
        <f>IF(Tabella1[[#This Row],[Data type]]= "GEOMORPHOLOGICAL DATA", "G", "N")</f>
        <v>N</v>
      </c>
      <c r="G263" t="s">
        <v>349</v>
      </c>
      <c r="J263" t="str">
        <f t="shared" si="4"/>
        <v>Opere_Difesa_SuoloODS_TOT_areemovimento terra</v>
      </c>
      <c r="K263">
        <f>_xlfn.XLOOKUP(Tabella1[[#This Row],[Concatenato]],'Original data'!D:D,'Original data'!E:E)</f>
        <v>394</v>
      </c>
      <c r="L263" t="s">
        <v>630</v>
      </c>
    </row>
    <row r="264" spans="2:12" x14ac:dyDescent="0.3">
      <c r="B264" t="s">
        <v>592</v>
      </c>
      <c r="C264" t="s">
        <v>426</v>
      </c>
      <c r="D264" t="s">
        <v>586</v>
      </c>
      <c r="E264" t="str">
        <f>IF(Tabella1[[#This Row],[Data type]]= "GEOMORPHOLOGICAL DATA", "G", "N")</f>
        <v>G</v>
      </c>
      <c r="F264" t="s">
        <v>634</v>
      </c>
      <c r="G264" t="s">
        <v>392</v>
      </c>
      <c r="J264" t="str">
        <f t="shared" si="4"/>
        <v>Opere_Difesa_SuoloODS_TOT_lineetrincea drenante</v>
      </c>
      <c r="K264">
        <f>_xlfn.XLOOKUP(Tabella1[[#This Row],[Concatenato]],'Original data'!D:D,'Original data'!E:E)</f>
        <v>598</v>
      </c>
      <c r="L264" t="s">
        <v>615</v>
      </c>
    </row>
    <row r="265" spans="2:12" x14ac:dyDescent="0.3">
      <c r="B265" s="5" t="s">
        <v>595</v>
      </c>
      <c r="C265" t="s">
        <v>262</v>
      </c>
      <c r="D265" t="s">
        <v>587</v>
      </c>
      <c r="E265" t="str">
        <f>IF(Tabella1[[#This Row],[Data type]]= "GEOMORPHOLOGICAL DATA", "G", "N")</f>
        <v>N</v>
      </c>
      <c r="G265" t="s">
        <v>302</v>
      </c>
      <c r="J265" t="str">
        <f t="shared" si="4"/>
        <v>DUSAFWIZ_U32WG_VS_DUSAF4castagneti da frutto</v>
      </c>
      <c r="K265">
        <f>_xlfn.XLOOKUP(Tabella1[[#This Row],[Concatenato]],'Original data'!D:D,'Original data'!E:E)</f>
        <v>385</v>
      </c>
      <c r="L265" t="s">
        <v>630</v>
      </c>
    </row>
    <row r="266" spans="2:12" x14ac:dyDescent="0.3">
      <c r="B266" t="s">
        <v>592</v>
      </c>
      <c r="C266" t="s">
        <v>426</v>
      </c>
      <c r="D266" t="s">
        <v>586</v>
      </c>
      <c r="E266" t="str">
        <f>IF(Tabella1[[#This Row],[Data type]]= "GEOMORPHOLOGICAL DATA", "G", "N")</f>
        <v>G</v>
      </c>
      <c r="F266" t="s">
        <v>634</v>
      </c>
      <c r="G266" t="s">
        <v>395</v>
      </c>
      <c r="J266" t="str">
        <f t="shared" si="4"/>
        <v>Opere_Difesa_SuoloODS_TOT_lineebarriera</v>
      </c>
      <c r="K266">
        <f>_xlfn.XLOOKUP(Tabella1[[#This Row],[Concatenato]],'Original data'!D:D,'Original data'!E:E)</f>
        <v>586</v>
      </c>
      <c r="L266" t="s">
        <v>615</v>
      </c>
    </row>
    <row r="267" spans="2:12" x14ac:dyDescent="0.3">
      <c r="B267" t="s">
        <v>592</v>
      </c>
      <c r="C267" t="s">
        <v>426</v>
      </c>
      <c r="D267" t="s">
        <v>586</v>
      </c>
      <c r="E267" t="str">
        <f>IF(Tabella1[[#This Row],[Data type]]= "GEOMORPHOLOGICAL DATA", "G", "N")</f>
        <v>G</v>
      </c>
      <c r="F267" t="s">
        <v>634</v>
      </c>
      <c r="G267" t="s">
        <v>335</v>
      </c>
      <c r="J267" t="str">
        <f t="shared" si="4"/>
        <v>Opere_Difesa_SuoloODS_TOT_lineepalificata viva</v>
      </c>
      <c r="K267">
        <f>_xlfn.XLOOKUP(Tabella1[[#This Row],[Concatenato]],'Original data'!D:D,'Original data'!E:E)</f>
        <v>577</v>
      </c>
      <c r="L267" t="s">
        <v>615</v>
      </c>
    </row>
    <row r="268" spans="2:12" x14ac:dyDescent="0.3">
      <c r="B268" s="5" t="s">
        <v>595</v>
      </c>
      <c r="C268" t="s">
        <v>262</v>
      </c>
      <c r="D268" t="s">
        <v>587</v>
      </c>
      <c r="E268" t="str">
        <f>IF(Tabella1[[#This Row],[Data type]]= "GEOMORPHOLOGICAL DATA", "G", "N")</f>
        <v>N</v>
      </c>
      <c r="G268" t="s">
        <v>318</v>
      </c>
      <c r="J268" t="str">
        <f t="shared" si="4"/>
        <v>DUSAFWIZ_U32WG_VS_DUSAF4vegetazione degli argini sopraelevati</v>
      </c>
      <c r="K268">
        <f>_xlfn.XLOOKUP(Tabella1[[#This Row],[Concatenato]],'Original data'!D:D,'Original data'!E:E)</f>
        <v>374</v>
      </c>
      <c r="L268" t="s">
        <v>630</v>
      </c>
    </row>
    <row r="269" spans="2:12" x14ac:dyDescent="0.3">
      <c r="B269" s="5" t="s">
        <v>595</v>
      </c>
      <c r="C269" t="s">
        <v>327</v>
      </c>
      <c r="D269" t="s">
        <v>587</v>
      </c>
      <c r="E269" t="str">
        <f>IF(Tabella1[[#This Row],[Data type]]= "GEOMORPHOLOGICAL DATA", "G", "N")</f>
        <v>N</v>
      </c>
      <c r="G269" t="s">
        <v>327</v>
      </c>
      <c r="J269" t="str">
        <f t="shared" si="4"/>
        <v>DUSAFvegetazione_degli_argini_sopraelevativegetazione_degli_argini_sopraelevati</v>
      </c>
      <c r="K269">
        <f>_xlfn.XLOOKUP(Tabella1[[#This Row],[Concatenato]],'Original data'!D:D,'Original data'!E:E)</f>
        <v>374</v>
      </c>
      <c r="L269" t="s">
        <v>630</v>
      </c>
    </row>
    <row r="270" spans="2:12" x14ac:dyDescent="0.3">
      <c r="B270" t="s">
        <v>592</v>
      </c>
      <c r="C270" t="s">
        <v>426</v>
      </c>
      <c r="D270" t="s">
        <v>588</v>
      </c>
      <c r="E270" t="str">
        <f>IF(Tabella1[[#This Row],[Data type]]= "GEOMORPHOLOGICAL DATA", "G", "N")</f>
        <v>N</v>
      </c>
      <c r="G270" t="s">
        <v>382</v>
      </c>
      <c r="J270" t="str">
        <f t="shared" si="4"/>
        <v>Opere_Difesa_SuoloODS_TOT_lineesvaso/pulizia alveo</v>
      </c>
      <c r="K270">
        <f>_xlfn.XLOOKUP(Tabella1[[#This Row],[Concatenato]],'Original data'!D:D,'Original data'!E:E)</f>
        <v>372</v>
      </c>
      <c r="L270" t="s">
        <v>630</v>
      </c>
    </row>
    <row r="271" spans="2:12" x14ac:dyDescent="0.3">
      <c r="B271" t="s">
        <v>592</v>
      </c>
      <c r="C271" t="s">
        <v>443</v>
      </c>
      <c r="D271" t="s">
        <v>586</v>
      </c>
      <c r="E271" t="str">
        <f>IF(Tabella1[[#This Row],[Data type]]= "GEOMORPHOLOGICAL DATA", "G", "N")</f>
        <v>G</v>
      </c>
      <c r="F271" t="s">
        <v>634</v>
      </c>
      <c r="G271" t="s">
        <v>346</v>
      </c>
      <c r="J271" t="str">
        <f t="shared" si="4"/>
        <v>Opere_Difesa_SuoloODS_TOT_puntitombotto</v>
      </c>
      <c r="K271">
        <f>_xlfn.XLOOKUP(Tabella1[[#This Row],[Concatenato]],'Original data'!D:D,'Original data'!E:E)</f>
        <v>533</v>
      </c>
      <c r="L271" t="s">
        <v>615</v>
      </c>
    </row>
    <row r="272" spans="2:12" x14ac:dyDescent="0.3">
      <c r="B272" s="5" t="s">
        <v>8</v>
      </c>
      <c r="C272" t="s">
        <v>57</v>
      </c>
      <c r="D272" t="s">
        <v>589</v>
      </c>
      <c r="E272" t="str">
        <f>IF(Tabella1[[#This Row],[Data type]]= "GEOMORPHOLOGICAL DATA", "G", "N")</f>
        <v>N</v>
      </c>
      <c r="G272" t="s">
        <v>72</v>
      </c>
      <c r="J272" t="str">
        <f t="shared" si="4"/>
        <v>geoambientaliSL_GEO_WGSFlysch</v>
      </c>
      <c r="K272">
        <f>_xlfn.XLOOKUP(Tabella1[[#This Row],[Concatenato]],'Original data'!D:D,'Original data'!E:E)</f>
        <v>368</v>
      </c>
      <c r="L272" t="s">
        <v>630</v>
      </c>
    </row>
    <row r="273" spans="2:12" x14ac:dyDescent="0.3">
      <c r="B273" t="s">
        <v>592</v>
      </c>
      <c r="C273" t="s">
        <v>443</v>
      </c>
      <c r="D273" t="s">
        <v>586</v>
      </c>
      <c r="E273" t="str">
        <f>IF(Tabella1[[#This Row],[Data type]]= "GEOMORPHOLOGICAL DATA", "G", "N")</f>
        <v>G</v>
      </c>
      <c r="F273" t="s">
        <v>634</v>
      </c>
      <c r="G273" t="s">
        <v>373</v>
      </c>
      <c r="J273" t="str">
        <f t="shared" si="4"/>
        <v>Opere_Difesa_SuoloODS_TOT_puntimuro</v>
      </c>
      <c r="K273">
        <f>_xlfn.XLOOKUP(Tabella1[[#This Row],[Concatenato]],'Original data'!D:D,'Original data'!E:E)</f>
        <v>499</v>
      </c>
      <c r="L273" t="s">
        <v>615</v>
      </c>
    </row>
    <row r="274" spans="2:12" x14ac:dyDescent="0.3">
      <c r="B274" t="s">
        <v>592</v>
      </c>
      <c r="C274" t="s">
        <v>426</v>
      </c>
      <c r="D274" t="s">
        <v>586</v>
      </c>
      <c r="E274" t="str">
        <f>IF(Tabella1[[#This Row],[Data type]]= "GEOMORPHOLOGICAL DATA", "G", "N")</f>
        <v>G</v>
      </c>
      <c r="F274" t="s">
        <v>634</v>
      </c>
      <c r="G274" t="s">
        <v>409</v>
      </c>
      <c r="J274" t="str">
        <f t="shared" si="4"/>
        <v>Opere_Difesa_SuoloODS_TOT_lineedrenaggio</v>
      </c>
      <c r="K274">
        <f>_xlfn.XLOOKUP(Tabella1[[#This Row],[Concatenato]],'Original data'!D:D,'Original data'!E:E)</f>
        <v>422</v>
      </c>
      <c r="L274" t="s">
        <v>615</v>
      </c>
    </row>
    <row r="275" spans="2:12" x14ac:dyDescent="0.3">
      <c r="B275" s="5" t="s">
        <v>591</v>
      </c>
      <c r="C275" t="s">
        <v>92</v>
      </c>
      <c r="D275" t="s">
        <v>586</v>
      </c>
      <c r="E275" t="str">
        <f>IF(Tabella1[[#This Row],[Data type]]= "GEOMORPHOLOGICAL DATA", "G", "N")</f>
        <v>G</v>
      </c>
      <c r="F275" t="s">
        <v>633</v>
      </c>
      <c r="G275" t="s">
        <v>102</v>
      </c>
      <c r="J275" t="str">
        <f t="shared" si="4"/>
        <v>basi_ambientali_pianuraWIZ_U32WG_VS_SIT_BASI_ELELINscarpata di erosione di scaricatore fluvioglaciale evidente</v>
      </c>
      <c r="K275">
        <f>_xlfn.XLOOKUP(Tabella1[[#This Row],[Concatenato]],'Original data'!D:D,'Original data'!E:E)</f>
        <v>420</v>
      </c>
      <c r="L275" t="s">
        <v>615</v>
      </c>
    </row>
    <row r="276" spans="2:12" x14ac:dyDescent="0.3">
      <c r="B276" s="5" t="s">
        <v>8</v>
      </c>
      <c r="C276" t="s">
        <v>45</v>
      </c>
      <c r="D276" t="s">
        <v>588</v>
      </c>
      <c r="E276" t="s">
        <v>643</v>
      </c>
      <c r="G276" t="s">
        <v>42</v>
      </c>
      <c r="J276" t="str">
        <f t="shared" si="4"/>
        <v>geoambientaliPA_GEO_WGSzona paludosa, acquitrinosa o sartumosa</v>
      </c>
      <c r="K276">
        <f>_xlfn.XLOOKUP(Tabella1[[#This Row],[Concatenato]],'Original data'!D:D,'Original data'!E:E)</f>
        <v>417</v>
      </c>
      <c r="L276" t="s">
        <v>630</v>
      </c>
    </row>
    <row r="277" spans="2:12" x14ac:dyDescent="0.3">
      <c r="B277" s="5" t="s">
        <v>8</v>
      </c>
      <c r="C277" t="s">
        <v>57</v>
      </c>
      <c r="D277" t="s">
        <v>589</v>
      </c>
      <c r="E277" t="str">
        <f>IF(Tabella1[[#This Row],[Data type]]= "GEOMORPHOLOGICAL DATA", "G", "N")</f>
        <v>N</v>
      </c>
      <c r="G277" t="s">
        <v>71</v>
      </c>
      <c r="J277" t="str">
        <f t="shared" si="4"/>
        <v>geoambientaliSL_GEO_WGSArgille con marne</v>
      </c>
      <c r="K277">
        <f>_xlfn.XLOOKUP(Tabella1[[#This Row],[Concatenato]],'Original data'!D:D,'Original data'!E:E)</f>
        <v>325</v>
      </c>
      <c r="L277" t="s">
        <v>630</v>
      </c>
    </row>
    <row r="278" spans="2:12" x14ac:dyDescent="0.3">
      <c r="B278" t="s">
        <v>592</v>
      </c>
      <c r="C278" t="s">
        <v>443</v>
      </c>
      <c r="D278" t="s">
        <v>586</v>
      </c>
      <c r="E278" t="str">
        <f>IF(Tabella1[[#This Row],[Data type]]= "GEOMORPHOLOGICAL DATA", "G", "N")</f>
        <v>G</v>
      </c>
      <c r="F278" t="s">
        <v>634</v>
      </c>
      <c r="G278" t="s">
        <v>371</v>
      </c>
      <c r="J278" t="str">
        <f t="shared" si="4"/>
        <v>Opere_Difesa_SuoloODS_TOT_puntigabbionata</v>
      </c>
      <c r="K278">
        <f>_xlfn.XLOOKUP(Tabella1[[#This Row],[Concatenato]],'Original data'!D:D,'Original data'!E:E)</f>
        <v>390</v>
      </c>
      <c r="L278" t="s">
        <v>615</v>
      </c>
    </row>
    <row r="279" spans="2:12" x14ac:dyDescent="0.3">
      <c r="B279" t="s">
        <v>592</v>
      </c>
      <c r="C279" t="s">
        <v>425</v>
      </c>
      <c r="D279" t="s">
        <v>587</v>
      </c>
      <c r="E279" t="str">
        <f>IF(Tabella1[[#This Row],[Data type]]= "GEOMORPHOLOGICAL DATA", "G", "N")</f>
        <v>N</v>
      </c>
      <c r="G279" t="s">
        <v>362</v>
      </c>
      <c r="J279" t="str">
        <f t="shared" si="4"/>
        <v>Opere_Difesa_SuoloODS_TOT_areeinerbimento</v>
      </c>
      <c r="K279">
        <f>_xlfn.XLOOKUP(Tabella1[[#This Row],[Concatenato]],'Original data'!D:D,'Original data'!E:E)</f>
        <v>314</v>
      </c>
      <c r="L279" t="s">
        <v>630</v>
      </c>
    </row>
    <row r="280" spans="2:12" x14ac:dyDescent="0.3">
      <c r="B280" t="s">
        <v>592</v>
      </c>
      <c r="C280" t="s">
        <v>426</v>
      </c>
      <c r="D280" t="s">
        <v>586</v>
      </c>
      <c r="E280" t="str">
        <f>IF(Tabella1[[#This Row],[Data type]]= "GEOMORPHOLOGICAL DATA", "G", "N")</f>
        <v>G</v>
      </c>
      <c r="F280" t="s">
        <v>634</v>
      </c>
      <c r="G280" t="s">
        <v>339</v>
      </c>
      <c r="J280" t="str">
        <f t="shared" si="4"/>
        <v>Opere_Difesa_SuoloODS_TOT_lineeselciatone</v>
      </c>
      <c r="K280">
        <f>_xlfn.XLOOKUP(Tabella1[[#This Row],[Concatenato]],'Original data'!D:D,'Original data'!E:E)</f>
        <v>381</v>
      </c>
      <c r="L280" t="s">
        <v>615</v>
      </c>
    </row>
    <row r="281" spans="2:12" x14ac:dyDescent="0.3">
      <c r="B281" t="s">
        <v>592</v>
      </c>
      <c r="C281" t="s">
        <v>426</v>
      </c>
      <c r="D281" t="s">
        <v>586</v>
      </c>
      <c r="E281" t="str">
        <f>IF(Tabella1[[#This Row],[Data type]]= "GEOMORPHOLOGICAL DATA", "G", "N")</f>
        <v>G</v>
      </c>
      <c r="F281" t="s">
        <v>634</v>
      </c>
      <c r="G281" t="s">
        <v>366</v>
      </c>
      <c r="J281" t="str">
        <f t="shared" si="4"/>
        <v>Opere_Difesa_SuoloODS_TOT_lineedrenaggio superficiale</v>
      </c>
      <c r="K281">
        <f>_xlfn.XLOOKUP(Tabella1[[#This Row],[Concatenato]],'Original data'!D:D,'Original data'!E:E)</f>
        <v>346</v>
      </c>
      <c r="L281" t="s">
        <v>615</v>
      </c>
    </row>
    <row r="282" spans="2:12" x14ac:dyDescent="0.3">
      <c r="B282" t="s">
        <v>592</v>
      </c>
      <c r="C282" t="s">
        <v>443</v>
      </c>
      <c r="D282" t="s">
        <v>586</v>
      </c>
      <c r="E282" t="str">
        <f>IF(Tabella1[[#This Row],[Data type]]= "GEOMORPHOLOGICAL DATA", "G", "N")</f>
        <v>G</v>
      </c>
      <c r="F282" t="s">
        <v>634</v>
      </c>
      <c r="G282" t="s">
        <v>366</v>
      </c>
      <c r="J282" t="str">
        <f t="shared" si="4"/>
        <v>Opere_Difesa_SuoloODS_TOT_puntidrenaggio superficiale</v>
      </c>
      <c r="K282">
        <f>_xlfn.XLOOKUP(Tabella1[[#This Row],[Concatenato]],'Original data'!D:D,'Original data'!E:E)</f>
        <v>334</v>
      </c>
      <c r="L282" t="s">
        <v>615</v>
      </c>
    </row>
    <row r="283" spans="2:12" x14ac:dyDescent="0.3">
      <c r="B283" t="s">
        <v>592</v>
      </c>
      <c r="C283" t="s">
        <v>426</v>
      </c>
      <c r="D283" t="s">
        <v>586</v>
      </c>
      <c r="E283" t="str">
        <f>IF(Tabella1[[#This Row],[Data type]]= "GEOMORPHOLOGICAL DATA", "G", "N")</f>
        <v>G</v>
      </c>
      <c r="F283" t="s">
        <v>634</v>
      </c>
      <c r="G283" t="s">
        <v>359</v>
      </c>
      <c r="J283" t="str">
        <f t="shared" si="4"/>
        <v>Opere_Difesa_SuoloODS_TOT_lineeponte da neve</v>
      </c>
      <c r="K283">
        <f>_xlfn.XLOOKUP(Tabella1[[#This Row],[Concatenato]],'Original data'!D:D,'Original data'!E:E)</f>
        <v>323</v>
      </c>
      <c r="L283" t="s">
        <v>615</v>
      </c>
    </row>
    <row r="284" spans="2:12" x14ac:dyDescent="0.3">
      <c r="B284" s="5" t="s">
        <v>595</v>
      </c>
      <c r="C284" t="s">
        <v>262</v>
      </c>
      <c r="D284" t="s">
        <v>587</v>
      </c>
      <c r="E284" t="str">
        <f>IF(Tabella1[[#This Row],[Data type]]= "GEOMORPHOLOGICAL DATA", "G", "N")</f>
        <v>N</v>
      </c>
      <c r="G284" t="s">
        <v>286</v>
      </c>
      <c r="J284" t="str">
        <f t="shared" si="4"/>
        <v>DUSAFWIZ_U32WG_VS_DUSAF4Campeggi e strutture turistiche e ricettive</v>
      </c>
      <c r="K284">
        <f>_xlfn.XLOOKUP(Tabella1[[#This Row],[Concatenato]],'Original data'!D:D,'Original data'!E:E)</f>
        <v>274</v>
      </c>
      <c r="L284" t="s">
        <v>630</v>
      </c>
    </row>
    <row r="285" spans="2:12" x14ac:dyDescent="0.3">
      <c r="B285" s="5" t="s">
        <v>595</v>
      </c>
      <c r="C285" t="s">
        <v>262</v>
      </c>
      <c r="D285" t="s">
        <v>587</v>
      </c>
      <c r="E285" t="str">
        <f>IF(Tabella1[[#This Row],[Data type]]= "GEOMORPHOLOGICAL DATA", "G", "N")</f>
        <v>N</v>
      </c>
      <c r="G285" t="s">
        <v>307</v>
      </c>
      <c r="J285" t="str">
        <f t="shared" si="4"/>
        <v>DUSAFWIZ_U32WG_VS_DUSAF4Reti ferroviarie e spazi accessori</v>
      </c>
      <c r="K285">
        <f>_xlfn.XLOOKUP(Tabella1[[#This Row],[Concatenato]],'Original data'!D:D,'Original data'!E:E)</f>
        <v>273</v>
      </c>
      <c r="L285" t="s">
        <v>630</v>
      </c>
    </row>
    <row r="286" spans="2:12" x14ac:dyDescent="0.3">
      <c r="B286" s="5" t="s">
        <v>591</v>
      </c>
      <c r="C286" t="s">
        <v>92</v>
      </c>
      <c r="D286" t="s">
        <v>586</v>
      </c>
      <c r="E286" t="str">
        <f>IF(Tabella1[[#This Row],[Data type]]= "GEOMORPHOLOGICAL DATA", "G", "N")</f>
        <v>G</v>
      </c>
      <c r="F286" t="s">
        <v>633</v>
      </c>
      <c r="G286" t="s">
        <v>96</v>
      </c>
      <c r="J286" t="str">
        <f t="shared" si="4"/>
        <v>basi_ambientali_pianuraWIZ_U32WG_VS_SIT_BASI_ELELINscarpata di erosione di scaricatore fluvioglaciale smussato</v>
      </c>
      <c r="K286">
        <f>_xlfn.XLOOKUP(Tabella1[[#This Row],[Concatenato]],'Original data'!D:D,'Original data'!E:E)</f>
        <v>309</v>
      </c>
      <c r="L286" t="s">
        <v>615</v>
      </c>
    </row>
    <row r="287" spans="2:12" x14ac:dyDescent="0.3">
      <c r="B287" t="s">
        <v>592</v>
      </c>
      <c r="C287" t="s">
        <v>426</v>
      </c>
      <c r="D287" t="s">
        <v>588</v>
      </c>
      <c r="E287" t="str">
        <f>IF(Tabella1[[#This Row],[Data type]]= "GEOMORPHOLOGICAL DATA", "G", "N")</f>
        <v>N</v>
      </c>
      <c r="G287" t="s">
        <v>388</v>
      </c>
      <c r="J287" t="str">
        <f t="shared" si="4"/>
        <v>Opere_Difesa_SuoloODS_TOT_lineeponte</v>
      </c>
      <c r="K287">
        <f>_xlfn.XLOOKUP(Tabella1[[#This Row],[Concatenato]],'Original data'!D:D,'Original data'!E:E)</f>
        <v>258</v>
      </c>
      <c r="L287" t="s">
        <v>630</v>
      </c>
    </row>
    <row r="288" spans="2:12" x14ac:dyDescent="0.3">
      <c r="B288" s="5" t="s">
        <v>595</v>
      </c>
      <c r="C288" t="s">
        <v>262</v>
      </c>
      <c r="D288" t="s">
        <v>587</v>
      </c>
      <c r="E288" t="str">
        <f>IF(Tabella1[[#This Row],[Data type]]= "GEOMORPHOLOGICAL DATA", "G", "N")</f>
        <v>N</v>
      </c>
      <c r="G288" t="s">
        <v>301</v>
      </c>
      <c r="J288" t="str">
        <f t="shared" si="4"/>
        <v>DUSAFWIZ_U32WG_VS_DUSAF4boschi misti a densit?á bassa</v>
      </c>
      <c r="K288">
        <f>_xlfn.XLOOKUP(Tabella1[[#This Row],[Concatenato]],'Original data'!D:D,'Original data'!E:E)</f>
        <v>255</v>
      </c>
      <c r="L288" t="s">
        <v>630</v>
      </c>
    </row>
    <row r="289" spans="2:12" x14ac:dyDescent="0.3">
      <c r="B289" t="s">
        <v>592</v>
      </c>
      <c r="C289" t="s">
        <v>426</v>
      </c>
      <c r="D289" t="s">
        <v>586</v>
      </c>
      <c r="E289" t="str">
        <f>IF(Tabella1[[#This Row],[Data type]]= "GEOMORPHOLOGICAL DATA", "G", "N")</f>
        <v>G</v>
      </c>
      <c r="F289" t="s">
        <v>634</v>
      </c>
      <c r="G289" t="s">
        <v>421</v>
      </c>
      <c r="J289" t="str">
        <f t="shared" si="4"/>
        <v>Opere_Difesa_SuoloODS_TOT_lineemuro a secco</v>
      </c>
      <c r="K289">
        <f>_xlfn.XLOOKUP(Tabella1[[#This Row],[Concatenato]],'Original data'!D:D,'Original data'!E:E)</f>
        <v>294</v>
      </c>
      <c r="L289" t="s">
        <v>615</v>
      </c>
    </row>
    <row r="290" spans="2:12" x14ac:dyDescent="0.3">
      <c r="B290" s="5" t="s">
        <v>593</v>
      </c>
      <c r="C290" t="s">
        <v>248</v>
      </c>
      <c r="D290" t="s">
        <v>589</v>
      </c>
      <c r="E290" t="str">
        <f>IF(Tabella1[[#This Row],[Data type]]= "GEOMORPHOLOGICAL DATA", "G", "N")</f>
        <v>N</v>
      </c>
      <c r="G290" t="s">
        <v>190</v>
      </c>
      <c r="J290" t="str">
        <f t="shared" si="4"/>
        <v>altri_datiWIZ_U32WG_VS_SIT_GEO_250Kcalcari</v>
      </c>
      <c r="K290">
        <f>_xlfn.XLOOKUP(Tabella1[[#This Row],[Concatenato]],'Original data'!D:D,'Original data'!E:E)</f>
        <v>233</v>
      </c>
      <c r="L290" t="s">
        <v>630</v>
      </c>
    </row>
    <row r="291" spans="2:12" x14ac:dyDescent="0.3">
      <c r="B291" s="5" t="s">
        <v>595</v>
      </c>
      <c r="C291" t="s">
        <v>262</v>
      </c>
      <c r="D291" t="s">
        <v>587</v>
      </c>
      <c r="E291" t="str">
        <f>IF(Tabella1[[#This Row],[Data type]]= "GEOMORPHOLOGICAL DATA", "G", "N")</f>
        <v>N</v>
      </c>
      <c r="G291" t="s">
        <v>278</v>
      </c>
      <c r="J291" t="str">
        <f t="shared" si="4"/>
        <v>DUSAFWIZ_U32WG_VS_DUSAF4imboschimenti recenti</v>
      </c>
      <c r="K291">
        <f>_xlfn.XLOOKUP(Tabella1[[#This Row],[Concatenato]],'Original data'!D:D,'Original data'!E:E)</f>
        <v>233</v>
      </c>
      <c r="L291" t="s">
        <v>630</v>
      </c>
    </row>
    <row r="292" spans="2:12" x14ac:dyDescent="0.3">
      <c r="B292" s="5" t="s">
        <v>8</v>
      </c>
      <c r="C292" t="s">
        <v>57</v>
      </c>
      <c r="D292" t="s">
        <v>589</v>
      </c>
      <c r="E292" t="str">
        <f>IF(Tabella1[[#This Row],[Data type]]= "GEOMORPHOLOGICAL DATA", "G", "N")</f>
        <v>N</v>
      </c>
      <c r="G292" t="s">
        <v>67</v>
      </c>
      <c r="J292" t="str">
        <f t="shared" si="4"/>
        <v>geoambientaliSL_GEO_WGSRoccia sedimentaria silicea</v>
      </c>
      <c r="K292">
        <f>_xlfn.XLOOKUP(Tabella1[[#This Row],[Concatenato]],'Original data'!D:D,'Original data'!E:E)</f>
        <v>233</v>
      </c>
      <c r="L292" t="s">
        <v>630</v>
      </c>
    </row>
    <row r="293" spans="2:12" x14ac:dyDescent="0.3">
      <c r="B293" s="5" t="s">
        <v>593</v>
      </c>
      <c r="C293" t="s">
        <v>248</v>
      </c>
      <c r="D293" t="s">
        <v>589</v>
      </c>
      <c r="E293" t="str">
        <f>IF(Tabella1[[#This Row],[Data type]]= "GEOMORPHOLOGICAL DATA", "G", "N")</f>
        <v>N</v>
      </c>
      <c r="G293" t="s">
        <v>158</v>
      </c>
      <c r="J293" t="str">
        <f t="shared" si="4"/>
        <v>altri_datiWIZ_U32WG_VS_SIT_GEO_250Kandesiti con daciti, basalti e rioliti</v>
      </c>
      <c r="K293">
        <f>_xlfn.XLOOKUP(Tabella1[[#This Row],[Concatenato]],'Original data'!D:D,'Original data'!E:E)</f>
        <v>227</v>
      </c>
      <c r="L293" t="s">
        <v>630</v>
      </c>
    </row>
    <row r="294" spans="2:12" x14ac:dyDescent="0.3">
      <c r="B294" t="s">
        <v>592</v>
      </c>
      <c r="C294" t="s">
        <v>443</v>
      </c>
      <c r="D294" t="s">
        <v>588</v>
      </c>
      <c r="E294" t="str">
        <f>IF(Tabella1[[#This Row],[Data type]]= "GEOMORPHOLOGICAL DATA", "G", "N")</f>
        <v>N</v>
      </c>
      <c r="G294" t="s">
        <v>388</v>
      </c>
      <c r="J294" t="str">
        <f t="shared" si="4"/>
        <v>Opere_Difesa_SuoloODS_TOT_puntiponte</v>
      </c>
      <c r="K294">
        <f>_xlfn.XLOOKUP(Tabella1[[#This Row],[Concatenato]],'Original data'!D:D,'Original data'!E:E)</f>
        <v>227</v>
      </c>
      <c r="L294" t="s">
        <v>630</v>
      </c>
    </row>
    <row r="295" spans="2:12" x14ac:dyDescent="0.3">
      <c r="B295" s="5" t="s">
        <v>595</v>
      </c>
      <c r="C295" t="s">
        <v>262</v>
      </c>
      <c r="D295" t="s">
        <v>587</v>
      </c>
      <c r="E295" t="str">
        <f>IF(Tabella1[[#This Row],[Data type]]= "GEOMORPHOLOGICAL DATA", "G", "N")</f>
        <v>N</v>
      </c>
      <c r="G295" t="s">
        <v>311</v>
      </c>
      <c r="J295" t="str">
        <f t="shared" si="4"/>
        <v>DUSAFWIZ_U32WG_VS_DUSAF4Impianti fotovoltaici a terra</v>
      </c>
      <c r="K295">
        <f>_xlfn.XLOOKUP(Tabella1[[#This Row],[Concatenato]],'Original data'!D:D,'Original data'!E:E)</f>
        <v>225</v>
      </c>
      <c r="L295" t="s">
        <v>630</v>
      </c>
    </row>
    <row r="296" spans="2:12" x14ac:dyDescent="0.3">
      <c r="B296" s="5" t="s">
        <v>595</v>
      </c>
      <c r="C296" t="s">
        <v>262</v>
      </c>
      <c r="D296" t="s">
        <v>587</v>
      </c>
      <c r="E296" t="str">
        <f>IF(Tabella1[[#This Row],[Data type]]= "GEOMORPHOLOGICAL DATA", "G", "N")</f>
        <v>N</v>
      </c>
      <c r="G296" t="s">
        <v>315</v>
      </c>
      <c r="J296" t="str">
        <f t="shared" si="4"/>
        <v>DUSAFWIZ_U32WG_VS_DUSAF4Colture floro-vivaistiche protette</v>
      </c>
      <c r="K296">
        <f>_xlfn.XLOOKUP(Tabella1[[#This Row],[Concatenato]],'Original data'!D:D,'Original data'!E:E)</f>
        <v>220</v>
      </c>
      <c r="L296" t="s">
        <v>630</v>
      </c>
    </row>
    <row r="297" spans="2:12" x14ac:dyDescent="0.3">
      <c r="B297" t="s">
        <v>592</v>
      </c>
      <c r="C297" t="s">
        <v>426</v>
      </c>
      <c r="D297" t="s">
        <v>586</v>
      </c>
      <c r="E297" t="str">
        <f>IF(Tabella1[[#This Row],[Data type]]= "GEOMORPHOLOGICAL DATA", "G", "N")</f>
        <v>G</v>
      </c>
      <c r="F297" t="s">
        <v>634</v>
      </c>
      <c r="G297" t="s">
        <v>402</v>
      </c>
      <c r="J297" t="str">
        <f t="shared" si="4"/>
        <v>Opere_Difesa_SuoloODS_TOT_lineedrenaggio sub-orizzontale</v>
      </c>
      <c r="K297">
        <f>_xlfn.XLOOKUP(Tabella1[[#This Row],[Concatenato]],'Original data'!D:D,'Original data'!E:E)</f>
        <v>271</v>
      </c>
      <c r="L297" t="s">
        <v>615</v>
      </c>
    </row>
    <row r="298" spans="2:12" x14ac:dyDescent="0.3">
      <c r="B298" t="s">
        <v>592</v>
      </c>
      <c r="C298" t="s">
        <v>443</v>
      </c>
      <c r="D298" t="s">
        <v>588</v>
      </c>
      <c r="E298" t="str">
        <f>IF(Tabella1[[#This Row],[Data type]]= "GEOMORPHOLOGICAL DATA", "G", "N")</f>
        <v>N</v>
      </c>
      <c r="G298" t="s">
        <v>401</v>
      </c>
      <c r="J298" t="str">
        <f t="shared" si="4"/>
        <v>Opere_Difesa_SuoloODS_TOT_puntipiezometro</v>
      </c>
      <c r="K298">
        <f>_xlfn.XLOOKUP(Tabella1[[#This Row],[Concatenato]],'Original data'!D:D,'Original data'!E:E)</f>
        <v>210</v>
      </c>
      <c r="L298" t="s">
        <v>630</v>
      </c>
    </row>
    <row r="299" spans="2:12" x14ac:dyDescent="0.3">
      <c r="B299" t="s">
        <v>592</v>
      </c>
      <c r="C299" t="s">
        <v>443</v>
      </c>
      <c r="D299" t="s">
        <v>586</v>
      </c>
      <c r="E299" t="str">
        <f>IF(Tabella1[[#This Row],[Data type]]= "GEOMORPHOLOGICAL DATA", "G", "N")</f>
        <v>G</v>
      </c>
      <c r="F299" t="s">
        <v>634</v>
      </c>
      <c r="G299" t="s">
        <v>374</v>
      </c>
      <c r="J299" t="str">
        <f t="shared" si="4"/>
        <v>Opere_Difesa_SuoloODS_TOT_puntivasca di accumulo</v>
      </c>
      <c r="K299">
        <f>_xlfn.XLOOKUP(Tabella1[[#This Row],[Concatenato]],'Original data'!D:D,'Original data'!E:E)</f>
        <v>251</v>
      </c>
      <c r="L299" t="s">
        <v>615</v>
      </c>
    </row>
    <row r="300" spans="2:12" x14ac:dyDescent="0.3">
      <c r="B300" s="5" t="s">
        <v>591</v>
      </c>
      <c r="C300" t="s">
        <v>92</v>
      </c>
      <c r="D300" t="s">
        <v>588</v>
      </c>
      <c r="E300" t="s">
        <v>643</v>
      </c>
      <c r="G300" t="s">
        <v>111</v>
      </c>
      <c r="J300" t="str">
        <f t="shared" si="4"/>
        <v>basi_ambientali_pianuraWIZ_U32WG_VS_SIT_BASI_ELELINFaglia o lineazione presunta o incerta</v>
      </c>
      <c r="K300">
        <f>_xlfn.XLOOKUP(Tabella1[[#This Row],[Concatenato]],'Original data'!D:D,'Original data'!E:E)</f>
        <v>236</v>
      </c>
      <c r="L300" t="s">
        <v>630</v>
      </c>
    </row>
    <row r="301" spans="2:12" x14ac:dyDescent="0.3">
      <c r="B301" t="s">
        <v>592</v>
      </c>
      <c r="C301" t="s">
        <v>426</v>
      </c>
      <c r="D301" t="s">
        <v>586</v>
      </c>
      <c r="E301" t="str">
        <f>IF(Tabella1[[#This Row],[Data type]]= "GEOMORPHOLOGICAL DATA", "G", "N")</f>
        <v>G</v>
      </c>
      <c r="F301" t="s">
        <v>634</v>
      </c>
      <c r="G301" t="s">
        <v>368</v>
      </c>
      <c r="J301" t="str">
        <f t="shared" si="4"/>
        <v>Opere_Difesa_SuoloODS_TOT_lineefascinata viva</v>
      </c>
      <c r="K301">
        <f>_xlfn.XLOOKUP(Tabella1[[#This Row],[Concatenato]],'Original data'!D:D,'Original data'!E:E)</f>
        <v>232</v>
      </c>
      <c r="L301" t="s">
        <v>615</v>
      </c>
    </row>
    <row r="302" spans="2:12" x14ac:dyDescent="0.3">
      <c r="B302" s="5" t="s">
        <v>593</v>
      </c>
      <c r="C302" t="s">
        <v>248</v>
      </c>
      <c r="D302" t="s">
        <v>589</v>
      </c>
      <c r="E302" t="str">
        <f>IF(Tabella1[[#This Row],[Data type]]= "GEOMORPHOLOGICAL DATA", "G", "N")</f>
        <v>N</v>
      </c>
      <c r="G302" t="s">
        <v>155</v>
      </c>
      <c r="J302" t="str">
        <f t="shared" si="4"/>
        <v>altri_datiWIZ_U32WG_VS_SIT_GEO_250Kghiaie, blocchi, limi</v>
      </c>
      <c r="K302">
        <f>_xlfn.XLOOKUP(Tabella1[[#This Row],[Concatenato]],'Original data'!D:D,'Original data'!E:E)</f>
        <v>192</v>
      </c>
      <c r="L302" t="s">
        <v>630</v>
      </c>
    </row>
    <row r="303" spans="2:12" x14ac:dyDescent="0.3">
      <c r="B303" s="5" t="s">
        <v>593</v>
      </c>
      <c r="C303" t="s">
        <v>248</v>
      </c>
      <c r="D303" t="s">
        <v>589</v>
      </c>
      <c r="E303" t="str">
        <f>IF(Tabella1[[#This Row],[Data type]]= "GEOMORPHOLOGICAL DATA", "G", "N")</f>
        <v>N</v>
      </c>
      <c r="G303" t="s">
        <v>177</v>
      </c>
      <c r="J303" t="str">
        <f t="shared" si="4"/>
        <v>altri_datiWIZ_U32WG_VS_SIT_GEO_250Kghiaie, sabbie e limi</v>
      </c>
      <c r="K303">
        <f>_xlfn.XLOOKUP(Tabella1[[#This Row],[Concatenato]],'Original data'!D:D,'Original data'!E:E)</f>
        <v>182</v>
      </c>
      <c r="L303" t="s">
        <v>630</v>
      </c>
    </row>
    <row r="304" spans="2:12" x14ac:dyDescent="0.3">
      <c r="B304" t="s">
        <v>592</v>
      </c>
      <c r="C304" t="s">
        <v>446</v>
      </c>
      <c r="D304" t="s">
        <v>588</v>
      </c>
      <c r="E304" t="str">
        <f>IF(Tabella1[[#This Row],[Data type]]= "GEOMORPHOLOGICAL DATA", "G", "N")</f>
        <v>N</v>
      </c>
      <c r="G304" t="s">
        <v>344</v>
      </c>
      <c r="J304" t="str">
        <f t="shared" si="4"/>
        <v>Opere_Difesa_SuoloOPERE_FIUMI_PLsoglia</v>
      </c>
      <c r="K304">
        <f>_xlfn.XLOOKUP(Tabella1[[#This Row],[Concatenato]],'Original data'!D:D,'Original data'!E:E)</f>
        <v>180</v>
      </c>
      <c r="L304" t="s">
        <v>630</v>
      </c>
    </row>
    <row r="305" spans="2:12" x14ac:dyDescent="0.3">
      <c r="B305" t="s">
        <v>592</v>
      </c>
      <c r="C305" t="s">
        <v>443</v>
      </c>
      <c r="D305" t="s">
        <v>586</v>
      </c>
      <c r="E305" t="str">
        <f>IF(Tabella1[[#This Row],[Data type]]= "GEOMORPHOLOGICAL DATA", "G", "N")</f>
        <v>G</v>
      </c>
      <c r="F305" t="s">
        <v>634</v>
      </c>
      <c r="G305" t="s">
        <v>418</v>
      </c>
      <c r="J305" t="str">
        <f t="shared" si="4"/>
        <v>Opere_Difesa_SuoloODS_TOT_puntipozzo drenante</v>
      </c>
      <c r="K305">
        <f>_xlfn.XLOOKUP(Tabella1[[#This Row],[Concatenato]],'Original data'!D:D,'Original data'!E:E)</f>
        <v>210</v>
      </c>
      <c r="L305" t="s">
        <v>615</v>
      </c>
    </row>
    <row r="306" spans="2:12" x14ac:dyDescent="0.3">
      <c r="B306" t="s">
        <v>592</v>
      </c>
      <c r="C306" t="s">
        <v>426</v>
      </c>
      <c r="D306" t="s">
        <v>586</v>
      </c>
      <c r="E306" t="str">
        <f>IF(Tabella1[[#This Row],[Data type]]= "GEOMORPHOLOGICAL DATA", "G", "N")</f>
        <v>G</v>
      </c>
      <c r="F306" t="s">
        <v>634</v>
      </c>
      <c r="G306" t="s">
        <v>363</v>
      </c>
      <c r="J306" t="str">
        <f t="shared" si="4"/>
        <v>Opere_Difesa_SuoloODS_TOT_lineesvaso</v>
      </c>
      <c r="K306">
        <f>_xlfn.XLOOKUP(Tabella1[[#This Row],[Concatenato]],'Original data'!D:D,'Original data'!E:E)</f>
        <v>208</v>
      </c>
      <c r="L306" t="s">
        <v>615</v>
      </c>
    </row>
    <row r="307" spans="2:12" x14ac:dyDescent="0.3">
      <c r="B307" s="5" t="s">
        <v>595</v>
      </c>
      <c r="C307" t="s">
        <v>262</v>
      </c>
      <c r="D307" t="s">
        <v>587</v>
      </c>
      <c r="E307" t="str">
        <f>IF(Tabella1[[#This Row],[Data type]]= "GEOMORPHOLOGICAL DATA", "G", "N")</f>
        <v>N</v>
      </c>
      <c r="G307" t="s">
        <v>303</v>
      </c>
      <c r="J307" t="str">
        <f t="shared" si="4"/>
        <v>DUSAFWIZ_U32WG_VS_DUSAF4Insediamenti ospedalieri</v>
      </c>
      <c r="K307">
        <f>_xlfn.XLOOKUP(Tabella1[[#This Row],[Concatenato]],'Original data'!D:D,'Original data'!E:E)</f>
        <v>176</v>
      </c>
      <c r="L307" t="s">
        <v>630</v>
      </c>
    </row>
    <row r="308" spans="2:12" x14ac:dyDescent="0.3">
      <c r="B308" t="s">
        <v>592</v>
      </c>
      <c r="C308" t="s">
        <v>426</v>
      </c>
      <c r="D308" t="s">
        <v>586</v>
      </c>
      <c r="E308" t="str">
        <f>IF(Tabella1[[#This Row],[Data type]]= "GEOMORPHOLOGICAL DATA", "G", "N")</f>
        <v>G</v>
      </c>
      <c r="F308" t="s">
        <v>634</v>
      </c>
      <c r="G308" t="s">
        <v>346</v>
      </c>
      <c r="J308" t="str">
        <f t="shared" si="4"/>
        <v>Opere_Difesa_SuoloODS_TOT_lineetombotto</v>
      </c>
      <c r="K308">
        <f>_xlfn.XLOOKUP(Tabella1[[#This Row],[Concatenato]],'Original data'!D:D,'Original data'!E:E)</f>
        <v>208</v>
      </c>
      <c r="L308" t="s">
        <v>615</v>
      </c>
    </row>
    <row r="309" spans="2:12" x14ac:dyDescent="0.3">
      <c r="B309" t="s">
        <v>592</v>
      </c>
      <c r="C309" t="s">
        <v>425</v>
      </c>
      <c r="D309" t="s">
        <v>586</v>
      </c>
      <c r="E309" t="str">
        <f>IF(Tabella1[[#This Row],[Data type]]= "GEOMORPHOLOGICAL DATA", "G", "N")</f>
        <v>G</v>
      </c>
      <c r="F309" t="s">
        <v>634</v>
      </c>
      <c r="G309" t="s">
        <v>360</v>
      </c>
      <c r="J309" t="str">
        <f t="shared" si="4"/>
        <v>Opere_Difesa_SuoloODS_TOT_areedisgaggio</v>
      </c>
      <c r="K309">
        <f>_xlfn.XLOOKUP(Tabella1[[#This Row],[Concatenato]],'Original data'!D:D,'Original data'!E:E)</f>
        <v>203</v>
      </c>
      <c r="L309" t="s">
        <v>615</v>
      </c>
    </row>
    <row r="310" spans="2:12" x14ac:dyDescent="0.3">
      <c r="B310" t="s">
        <v>592</v>
      </c>
      <c r="C310" t="s">
        <v>443</v>
      </c>
      <c r="D310" t="s">
        <v>588</v>
      </c>
      <c r="E310" t="str">
        <f>IF(Tabella1[[#This Row],[Data type]]= "GEOMORPHOLOGICAL DATA", "G", "N")</f>
        <v>N</v>
      </c>
      <c r="G310" t="s">
        <v>437</v>
      </c>
      <c r="J310" t="str">
        <f t="shared" si="4"/>
        <v>Opere_Difesa_SuoloODS_TOT_puntiinclinometro</v>
      </c>
      <c r="K310">
        <f>_xlfn.XLOOKUP(Tabella1[[#This Row],[Concatenato]],'Original data'!D:D,'Original data'!E:E)</f>
        <v>158</v>
      </c>
      <c r="L310" t="s">
        <v>630</v>
      </c>
    </row>
    <row r="311" spans="2:12" x14ac:dyDescent="0.3">
      <c r="B311" t="s">
        <v>592</v>
      </c>
      <c r="C311" t="s">
        <v>426</v>
      </c>
      <c r="D311" t="s">
        <v>588</v>
      </c>
      <c r="E311" t="str">
        <f>IF(Tabella1[[#This Row],[Data type]]= "GEOMORPHOLOGICAL DATA", "G", "N")</f>
        <v>N</v>
      </c>
      <c r="G311" t="s">
        <v>441</v>
      </c>
      <c r="J311" t="str">
        <f t="shared" si="4"/>
        <v>Opere_Difesa_SuoloODS_TOT_lineeindagine sismica</v>
      </c>
      <c r="K311">
        <f>_xlfn.XLOOKUP(Tabella1[[#This Row],[Concatenato]],'Original data'!D:D,'Original data'!E:E)</f>
        <v>157</v>
      </c>
      <c r="L311" t="s">
        <v>630</v>
      </c>
    </row>
    <row r="312" spans="2:12" x14ac:dyDescent="0.3">
      <c r="B312" s="5" t="s">
        <v>593</v>
      </c>
      <c r="C312" t="s">
        <v>248</v>
      </c>
      <c r="D312" t="s">
        <v>589</v>
      </c>
      <c r="E312" t="str">
        <f>IF(Tabella1[[#This Row],[Data type]]= "GEOMORPHOLOGICAL DATA", "G", "N")</f>
        <v>N</v>
      </c>
      <c r="G312" t="s">
        <v>153</v>
      </c>
      <c r="J312" t="str">
        <f t="shared" si="4"/>
        <v>altri_datiWIZ_U32WG_VS_SIT_GEO_250Kgneiss granitici e granodioritici, gneiss migmatici</v>
      </c>
      <c r="K312">
        <f>_xlfn.XLOOKUP(Tabella1[[#This Row],[Concatenato]],'Original data'!D:D,'Original data'!E:E)</f>
        <v>149</v>
      </c>
      <c r="L312" t="s">
        <v>630</v>
      </c>
    </row>
    <row r="313" spans="2:12" x14ac:dyDescent="0.3">
      <c r="B313" s="5" t="s">
        <v>593</v>
      </c>
      <c r="C313" t="s">
        <v>248</v>
      </c>
      <c r="D313" t="s">
        <v>589</v>
      </c>
      <c r="E313" t="str">
        <f>IF(Tabella1[[#This Row],[Data type]]= "GEOMORPHOLOGICAL DATA", "G", "N")</f>
        <v>N</v>
      </c>
      <c r="G313" t="s">
        <v>169</v>
      </c>
      <c r="J313" t="str">
        <f t="shared" si="4"/>
        <v>altri_datiWIZ_U32WG_VS_SIT_GEO_250Kparagneiss a due miche</v>
      </c>
      <c r="K313">
        <f>_xlfn.XLOOKUP(Tabella1[[#This Row],[Concatenato]],'Original data'!D:D,'Original data'!E:E)</f>
        <v>149</v>
      </c>
      <c r="L313" t="s">
        <v>630</v>
      </c>
    </row>
    <row r="314" spans="2:12" x14ac:dyDescent="0.3">
      <c r="B314" s="5" t="s">
        <v>593</v>
      </c>
      <c r="C314" t="s">
        <v>248</v>
      </c>
      <c r="D314" t="s">
        <v>589</v>
      </c>
      <c r="E314" t="str">
        <f>IF(Tabella1[[#This Row],[Data type]]= "GEOMORPHOLOGICAL DATA", "G", "N")</f>
        <v>N</v>
      </c>
      <c r="G314" t="s">
        <v>154</v>
      </c>
      <c r="J314" t="str">
        <f t="shared" si="4"/>
        <v>altri_datiWIZ_U32WG_VS_SIT_GEO_250KDetriti di falda e frane</v>
      </c>
      <c r="K314">
        <f>_xlfn.XLOOKUP(Tabella1[[#This Row],[Concatenato]],'Original data'!D:D,'Original data'!E:E)</f>
        <v>136</v>
      </c>
      <c r="L314" t="s">
        <v>630</v>
      </c>
    </row>
    <row r="315" spans="2:12" x14ac:dyDescent="0.3">
      <c r="B315" s="5" t="s">
        <v>593</v>
      </c>
      <c r="C315" t="s">
        <v>252</v>
      </c>
      <c r="D315" t="s">
        <v>588</v>
      </c>
      <c r="E315" t="str">
        <f>IF(Tabella1[[#This Row],[Data type]]= "GEOMORPHOLOGICAL DATA", "G", "N")</f>
        <v>N</v>
      </c>
      <c r="G315" t="s">
        <v>249</v>
      </c>
      <c r="J315" t="str">
        <f t="shared" si="4"/>
        <v>altri_datiWIZ_U32WG_VS_SIT_GEO_250K_FDISLOCAZIONI PROBABI</v>
      </c>
      <c r="K315">
        <f>_xlfn.XLOOKUP(Tabella1[[#This Row],[Concatenato]],'Original data'!D:D,'Original data'!E:E)</f>
        <v>136</v>
      </c>
      <c r="L315" t="s">
        <v>630</v>
      </c>
    </row>
    <row r="316" spans="2:12" x14ac:dyDescent="0.3">
      <c r="B316" s="5" t="s">
        <v>595</v>
      </c>
      <c r="C316" t="s">
        <v>262</v>
      </c>
      <c r="D316" t="s">
        <v>587</v>
      </c>
      <c r="E316" t="str">
        <f>IF(Tabella1[[#This Row],[Data type]]= "GEOMORPHOLOGICAL DATA", "G", "N")</f>
        <v>N</v>
      </c>
      <c r="G316" t="s">
        <v>319</v>
      </c>
      <c r="J316" t="str">
        <f t="shared" si="4"/>
        <v>DUSAFWIZ_U32WG_VS_DUSAF4Aree portuali</v>
      </c>
      <c r="K316">
        <f>_xlfn.XLOOKUP(Tabella1[[#This Row],[Concatenato]],'Original data'!D:D,'Original data'!E:E)</f>
        <v>135</v>
      </c>
      <c r="L316" t="s">
        <v>630</v>
      </c>
    </row>
    <row r="317" spans="2:12" x14ac:dyDescent="0.3">
      <c r="B317" s="5" t="s">
        <v>591</v>
      </c>
      <c r="C317" t="s">
        <v>92</v>
      </c>
      <c r="D317" t="s">
        <v>586</v>
      </c>
      <c r="E317" t="str">
        <f>IF(Tabella1[[#This Row],[Data type]]= "GEOMORPHOLOGICAL DATA", "G", "N")</f>
        <v>G</v>
      </c>
      <c r="F317" t="s">
        <v>636</v>
      </c>
      <c r="G317" t="s">
        <v>95</v>
      </c>
      <c r="J317" t="str">
        <f t="shared" si="4"/>
        <v>basi_ambientali_pianuraWIZ_U32WG_VS_SIT_BASI_ELELINorlo di scarpata di degradazione o di frana - non attivo</v>
      </c>
      <c r="K317">
        <f>_xlfn.XLOOKUP(Tabella1[[#This Row],[Concatenato]],'Original data'!D:D,'Original data'!E:E)</f>
        <v>193</v>
      </c>
      <c r="L317" t="s">
        <v>615</v>
      </c>
    </row>
    <row r="318" spans="2:12" x14ac:dyDescent="0.3">
      <c r="B318" s="5" t="s">
        <v>591</v>
      </c>
      <c r="C318" t="s">
        <v>137</v>
      </c>
      <c r="D318" t="s">
        <v>586</v>
      </c>
      <c r="E318" t="str">
        <f>IF(Tabella1[[#This Row],[Data type]]= "GEOMORPHOLOGICAL DATA", "G", "N")</f>
        <v>G</v>
      </c>
      <c r="F318" t="s">
        <v>638</v>
      </c>
      <c r="G318" t="s">
        <v>125</v>
      </c>
      <c r="J318" t="str">
        <f t="shared" si="4"/>
        <v>basi_ambientali_pianuraWIZ_U32WG_VS_SIT_BASI_SOTTOAMBPiane intermoreniche</v>
      </c>
      <c r="K318">
        <f>_xlfn.XLOOKUP(Tabella1[[#This Row],[Concatenato]],'Original data'!D:D,'Original data'!E:E)</f>
        <v>183</v>
      </c>
      <c r="L318" t="s">
        <v>615</v>
      </c>
    </row>
    <row r="319" spans="2:12" x14ac:dyDescent="0.3">
      <c r="B319" t="s">
        <v>592</v>
      </c>
      <c r="C319" t="s">
        <v>426</v>
      </c>
      <c r="D319" t="s">
        <v>588</v>
      </c>
      <c r="E319" t="str">
        <f>IF(Tabella1[[#This Row],[Data type]]= "GEOMORPHOLOGICAL DATA", "G", "N")</f>
        <v>N</v>
      </c>
      <c r="G319" t="s">
        <v>349</v>
      </c>
      <c r="J319" t="str">
        <f t="shared" si="4"/>
        <v>Opere_Difesa_SuoloODS_TOT_lineemovimento terra</v>
      </c>
      <c r="K319">
        <f>_xlfn.XLOOKUP(Tabella1[[#This Row],[Concatenato]],'Original data'!D:D,'Original data'!E:E)</f>
        <v>130</v>
      </c>
      <c r="L319" t="s">
        <v>630</v>
      </c>
    </row>
    <row r="320" spans="2:12" x14ac:dyDescent="0.3">
      <c r="B320" t="s">
        <v>592</v>
      </c>
      <c r="C320" t="s">
        <v>443</v>
      </c>
      <c r="D320" t="s">
        <v>587</v>
      </c>
      <c r="E320" t="str">
        <f>IF(Tabella1[[#This Row],[Data type]]= "GEOMORPHOLOGICAL DATA", "G", "N")</f>
        <v>N</v>
      </c>
      <c r="G320" t="s">
        <v>381</v>
      </c>
      <c r="J320" t="str">
        <f t="shared" si="4"/>
        <v>Opere_Difesa_SuoloODS_TOT_puntidemolizione</v>
      </c>
      <c r="K320">
        <f>_xlfn.XLOOKUP(Tabella1[[#This Row],[Concatenato]],'Original data'!D:D,'Original data'!E:E)</f>
        <v>125</v>
      </c>
      <c r="L320" t="s">
        <v>630</v>
      </c>
    </row>
    <row r="321" spans="2:12" x14ac:dyDescent="0.3">
      <c r="B321" t="s">
        <v>592</v>
      </c>
      <c r="C321" t="s">
        <v>425</v>
      </c>
      <c r="D321" t="s">
        <v>586</v>
      </c>
      <c r="E321" t="str">
        <f>IF(Tabella1[[#This Row],[Data type]]= "GEOMORPHOLOGICAL DATA", "G", "N")</f>
        <v>G</v>
      </c>
      <c r="F321" t="s">
        <v>634</v>
      </c>
      <c r="G321" t="s">
        <v>363</v>
      </c>
      <c r="J321" t="str">
        <f t="shared" si="4"/>
        <v>Opere_Difesa_SuoloODS_TOT_areesvaso</v>
      </c>
      <c r="K321">
        <f>_xlfn.XLOOKUP(Tabella1[[#This Row],[Concatenato]],'Original data'!D:D,'Original data'!E:E)</f>
        <v>180</v>
      </c>
      <c r="L321" t="s">
        <v>615</v>
      </c>
    </row>
    <row r="322" spans="2:12" x14ac:dyDescent="0.3">
      <c r="B322" t="s">
        <v>592</v>
      </c>
      <c r="C322" t="s">
        <v>425</v>
      </c>
      <c r="D322" t="s">
        <v>587</v>
      </c>
      <c r="E322" t="str">
        <f>IF(Tabella1[[#This Row],[Data type]]= "GEOMORPHOLOGICAL DATA", "G", "N")</f>
        <v>N</v>
      </c>
      <c r="G322" t="s">
        <v>393</v>
      </c>
      <c r="J322" t="str">
        <f t="shared" ref="J322:J385" si="5">_xlfn.CONCAT(B322,C322,G322)</f>
        <v>Opere_Difesa_SuoloODS_TOT_areedisboscamento</v>
      </c>
      <c r="K322">
        <f>_xlfn.XLOOKUP(Tabella1[[#This Row],[Concatenato]],'Original data'!D:D,'Original data'!E:E)</f>
        <v>122</v>
      </c>
      <c r="L322" t="s">
        <v>630</v>
      </c>
    </row>
    <row r="323" spans="2:12" x14ac:dyDescent="0.3">
      <c r="B323" t="s">
        <v>592</v>
      </c>
      <c r="C323" t="s">
        <v>426</v>
      </c>
      <c r="D323" t="s">
        <v>588</v>
      </c>
      <c r="E323" t="str">
        <f>IF(Tabella1[[#This Row],[Data type]]= "GEOMORPHOLOGICAL DATA", "G", "N")</f>
        <v>N</v>
      </c>
      <c r="G323" t="s">
        <v>352</v>
      </c>
      <c r="J323" t="str">
        <f t="shared" si="5"/>
        <v>Opere_Difesa_SuoloODS_TOT_lineerete</v>
      </c>
      <c r="K323">
        <f>_xlfn.XLOOKUP(Tabella1[[#This Row],[Concatenato]],'Original data'!D:D,'Original data'!E:E)</f>
        <v>121</v>
      </c>
      <c r="L323" t="s">
        <v>630</v>
      </c>
    </row>
    <row r="324" spans="2:12" x14ac:dyDescent="0.3">
      <c r="B324" s="5" t="s">
        <v>593</v>
      </c>
      <c r="C324" t="s">
        <v>248</v>
      </c>
      <c r="D324" t="s">
        <v>589</v>
      </c>
      <c r="E324" t="str">
        <f>IF(Tabella1[[#This Row],[Data type]]= "GEOMORPHOLOGICAL DATA", "G", "N")</f>
        <v>N</v>
      </c>
      <c r="G324" t="s">
        <v>162</v>
      </c>
      <c r="J324" t="str">
        <f t="shared" si="5"/>
        <v>altri_datiWIZ_U32WG_VS_SIT_GEO_250Kanfiboliti</v>
      </c>
      <c r="K324">
        <f>_xlfn.XLOOKUP(Tabella1[[#This Row],[Concatenato]],'Original data'!D:D,'Original data'!E:E)</f>
        <v>118</v>
      </c>
      <c r="L324" t="s">
        <v>630</v>
      </c>
    </row>
    <row r="325" spans="2:12" x14ac:dyDescent="0.3">
      <c r="B325" t="s">
        <v>592</v>
      </c>
      <c r="C325" t="s">
        <v>425</v>
      </c>
      <c r="D325" t="s">
        <v>588</v>
      </c>
      <c r="E325" t="str">
        <f>IF(Tabella1[[#This Row],[Data type]]= "GEOMORPHOLOGICAL DATA", "G", "N")</f>
        <v>N</v>
      </c>
      <c r="G325" t="s">
        <v>382</v>
      </c>
      <c r="J325" t="str">
        <f t="shared" si="5"/>
        <v>Opere_Difesa_SuoloODS_TOT_areesvaso/pulizia alveo</v>
      </c>
      <c r="K325">
        <f>_xlfn.XLOOKUP(Tabella1[[#This Row],[Concatenato]],'Original data'!D:D,'Original data'!E:E)</f>
        <v>118</v>
      </c>
      <c r="L325" t="s">
        <v>630</v>
      </c>
    </row>
    <row r="326" spans="2:12" x14ac:dyDescent="0.3">
      <c r="B326" s="5" t="s">
        <v>593</v>
      </c>
      <c r="C326" t="s">
        <v>248</v>
      </c>
      <c r="D326" t="s">
        <v>589</v>
      </c>
      <c r="E326" t="str">
        <f>IF(Tabella1[[#This Row],[Data type]]= "GEOMORPHOLOGICAL DATA", "G", "N")</f>
        <v>N</v>
      </c>
      <c r="G326" t="s">
        <v>186</v>
      </c>
      <c r="J326" t="str">
        <f t="shared" si="5"/>
        <v>altri_datiWIZ_U32WG_VS_SIT_GEO_250Kdolomie</v>
      </c>
      <c r="K326">
        <f>_xlfn.XLOOKUP(Tabella1[[#This Row],[Concatenato]],'Original data'!D:D,'Original data'!E:E)</f>
        <v>115</v>
      </c>
      <c r="L326" t="s">
        <v>630</v>
      </c>
    </row>
    <row r="327" spans="2:12" x14ac:dyDescent="0.3">
      <c r="B327" t="s">
        <v>592</v>
      </c>
      <c r="C327" t="s">
        <v>443</v>
      </c>
      <c r="D327" t="s">
        <v>588</v>
      </c>
      <c r="E327" t="str">
        <f>IF(Tabella1[[#This Row],[Data type]]= "GEOMORPHOLOGICAL DATA", "G", "N")</f>
        <v>N</v>
      </c>
      <c r="G327" t="s">
        <v>361</v>
      </c>
      <c r="J327" t="str">
        <f t="shared" si="5"/>
        <v>Opere_Difesa_SuoloODS_TOT_puntimira topografica</v>
      </c>
      <c r="K327">
        <f>_xlfn.XLOOKUP(Tabella1[[#This Row],[Concatenato]],'Original data'!D:D,'Original data'!E:E)</f>
        <v>114</v>
      </c>
      <c r="L327" t="s">
        <v>630</v>
      </c>
    </row>
    <row r="328" spans="2:12" x14ac:dyDescent="0.3">
      <c r="B328" s="5" t="s">
        <v>8</v>
      </c>
      <c r="C328" t="s">
        <v>57</v>
      </c>
      <c r="D328" t="s">
        <v>589</v>
      </c>
      <c r="E328" t="str">
        <f>IF(Tabella1[[#This Row],[Data type]]= "GEOMORPHOLOGICAL DATA", "G", "N")</f>
        <v>N</v>
      </c>
      <c r="G328" t="s">
        <v>75</v>
      </c>
      <c r="J328" t="str">
        <f t="shared" si="5"/>
        <v>geoambientaliSL_GEO_WGSDeposito gessoso e anidritico</v>
      </c>
      <c r="K328">
        <f>_xlfn.XLOOKUP(Tabella1[[#This Row],[Concatenato]],'Original data'!D:D,'Original data'!E:E)</f>
        <v>112</v>
      </c>
      <c r="L328" t="s">
        <v>630</v>
      </c>
    </row>
    <row r="329" spans="2:12" x14ac:dyDescent="0.3">
      <c r="B329" s="5" t="s">
        <v>593</v>
      </c>
      <c r="C329" t="s">
        <v>248</v>
      </c>
      <c r="D329" t="s">
        <v>589</v>
      </c>
      <c r="E329" t="str">
        <f>IF(Tabella1[[#This Row],[Data type]]= "GEOMORPHOLOGICAL DATA", "G", "N")</f>
        <v>N</v>
      </c>
      <c r="G329" t="s">
        <v>213</v>
      </c>
      <c r="J329" t="str">
        <f t="shared" si="5"/>
        <v>altri_datiWIZ_U32WG_VS_SIT_GEO_250Kghiaie, sabbie e argille ferrettizzate</v>
      </c>
      <c r="K329">
        <f>_xlfn.XLOOKUP(Tabella1[[#This Row],[Concatenato]],'Original data'!D:D,'Original data'!E:E)</f>
        <v>107</v>
      </c>
      <c r="L329" t="s">
        <v>630</v>
      </c>
    </row>
    <row r="330" spans="2:12" x14ac:dyDescent="0.3">
      <c r="B330" t="s">
        <v>592</v>
      </c>
      <c r="C330" t="s">
        <v>425</v>
      </c>
      <c r="D330" t="s">
        <v>586</v>
      </c>
      <c r="E330" t="str">
        <f>IF(Tabella1[[#This Row],[Data type]]= "GEOMORPHOLOGICAL DATA", "G", "N")</f>
        <v>G</v>
      </c>
      <c r="F330" t="s">
        <v>634</v>
      </c>
      <c r="G330" t="s">
        <v>337</v>
      </c>
      <c r="J330" t="str">
        <f t="shared" si="5"/>
        <v>Opere_Difesa_SuoloODS_TOT_areeviminata e palizzata viva</v>
      </c>
      <c r="K330">
        <f>_xlfn.XLOOKUP(Tabella1[[#This Row],[Concatenato]],'Original data'!D:D,'Original data'!E:E)</f>
        <v>176</v>
      </c>
      <c r="L330" t="s">
        <v>615</v>
      </c>
    </row>
    <row r="331" spans="2:12" x14ac:dyDescent="0.3">
      <c r="B331" t="s">
        <v>592</v>
      </c>
      <c r="C331" t="s">
        <v>425</v>
      </c>
      <c r="D331" t="s">
        <v>587</v>
      </c>
      <c r="E331" t="str">
        <f>IF(Tabella1[[#This Row],[Data type]]= "GEOMORPHOLOGICAL DATA", "G", "N")</f>
        <v>N</v>
      </c>
      <c r="G331" t="s">
        <v>379</v>
      </c>
      <c r="J331" t="str">
        <f t="shared" si="5"/>
        <v>Opere_Difesa_SuoloODS_TOT_areerivestimento antierosivo biodegradabile</v>
      </c>
      <c r="K331">
        <f>_xlfn.XLOOKUP(Tabella1[[#This Row],[Concatenato]],'Original data'!D:D,'Original data'!E:E)</f>
        <v>101</v>
      </c>
      <c r="L331" t="s">
        <v>630</v>
      </c>
    </row>
    <row r="332" spans="2:12" x14ac:dyDescent="0.3">
      <c r="B332" t="s">
        <v>592</v>
      </c>
      <c r="C332" t="s">
        <v>443</v>
      </c>
      <c r="D332" t="s">
        <v>586</v>
      </c>
      <c r="E332" t="str">
        <f>IF(Tabella1[[#This Row],[Data type]]= "GEOMORPHOLOGICAL DATA", "G", "N")</f>
        <v>G</v>
      </c>
      <c r="F332" t="s">
        <v>634</v>
      </c>
      <c r="G332" t="s">
        <v>337</v>
      </c>
      <c r="J332" t="str">
        <f t="shared" si="5"/>
        <v>Opere_Difesa_SuoloODS_TOT_puntiviminata e palizzata viva</v>
      </c>
      <c r="K332">
        <f>_xlfn.XLOOKUP(Tabella1[[#This Row],[Concatenato]],'Original data'!D:D,'Original data'!E:E)</f>
        <v>140</v>
      </c>
      <c r="L332" t="s">
        <v>615</v>
      </c>
    </row>
    <row r="333" spans="2:12" x14ac:dyDescent="0.3">
      <c r="B333" t="s">
        <v>592</v>
      </c>
      <c r="C333" t="s">
        <v>425</v>
      </c>
      <c r="D333" t="s">
        <v>586</v>
      </c>
      <c r="E333" t="str">
        <f>IF(Tabella1[[#This Row],[Data type]]= "GEOMORPHOLOGICAL DATA", "G", "N")</f>
        <v>G</v>
      </c>
      <c r="F333" t="s">
        <v>634</v>
      </c>
      <c r="G333" t="s">
        <v>374</v>
      </c>
      <c r="J333" t="str">
        <f t="shared" si="5"/>
        <v>Opere_Difesa_SuoloODS_TOT_areevasca di accumulo</v>
      </c>
      <c r="K333">
        <f>_xlfn.XLOOKUP(Tabella1[[#This Row],[Concatenato]],'Original data'!D:D,'Original data'!E:E)</f>
        <v>135</v>
      </c>
      <c r="L333" t="s">
        <v>615</v>
      </c>
    </row>
    <row r="334" spans="2:12" x14ac:dyDescent="0.3">
      <c r="B334" s="5" t="s">
        <v>593</v>
      </c>
      <c r="C334" t="s">
        <v>248</v>
      </c>
      <c r="D334" t="s">
        <v>589</v>
      </c>
      <c r="E334" t="str">
        <f>IF(Tabella1[[#This Row],[Data type]]= "GEOMORPHOLOGICAL DATA", "G", "N")</f>
        <v>N</v>
      </c>
      <c r="G334" t="s">
        <v>184</v>
      </c>
      <c r="J334" t="str">
        <f t="shared" si="5"/>
        <v>altri_datiWIZ_U32WG_VS_SIT_GEO_250Krioliti + o - alcal., daciti e subord. trachiti e latiti</v>
      </c>
      <c r="K334">
        <f>_xlfn.XLOOKUP(Tabella1[[#This Row],[Concatenato]],'Original data'!D:D,'Original data'!E:E)</f>
        <v>96</v>
      </c>
      <c r="L334" t="s">
        <v>630</v>
      </c>
    </row>
    <row r="335" spans="2:12" x14ac:dyDescent="0.3">
      <c r="B335" s="5" t="s">
        <v>591</v>
      </c>
      <c r="C335" t="s">
        <v>137</v>
      </c>
      <c r="D335" t="s">
        <v>586</v>
      </c>
      <c r="E335" t="str">
        <f>IF(Tabella1[[#This Row],[Data type]]= "GEOMORPHOLOGICAL DATA", "G", "N")</f>
        <v>G</v>
      </c>
      <c r="F335" t="s">
        <v>638</v>
      </c>
      <c r="G335" t="s">
        <v>122</v>
      </c>
      <c r="J335" t="str">
        <f t="shared" si="5"/>
        <v>basi_ambientali_pianuraWIZ_U32WG_VS_SIT_BASI_SOTTOAMBPiane glaciali e retroglaciali</v>
      </c>
      <c r="K335">
        <f>_xlfn.XLOOKUP(Tabella1[[#This Row],[Concatenato]],'Original data'!D:D,'Original data'!E:E)</f>
        <v>125</v>
      </c>
      <c r="L335" t="s">
        <v>615</v>
      </c>
    </row>
    <row r="336" spans="2:12" x14ac:dyDescent="0.3">
      <c r="B336" s="5" t="s">
        <v>593</v>
      </c>
      <c r="C336" t="s">
        <v>248</v>
      </c>
      <c r="D336" t="s">
        <v>589</v>
      </c>
      <c r="E336" t="str">
        <f>IF(Tabella1[[#This Row],[Data type]]= "GEOMORPHOLOGICAL DATA", "G", "N")</f>
        <v>N</v>
      </c>
      <c r="G336" t="s">
        <v>193</v>
      </c>
      <c r="J336" t="str">
        <f t="shared" si="5"/>
        <v>altri_datiWIZ_U32WG_VS_SIT_GEO_250Karenarie, marne, siltiti, argilliti, calcari; siderite</v>
      </c>
      <c r="K336">
        <f>_xlfn.XLOOKUP(Tabella1[[#This Row],[Concatenato]],'Original data'!D:D,'Original data'!E:E)</f>
        <v>93</v>
      </c>
      <c r="L336" t="s">
        <v>630</v>
      </c>
    </row>
    <row r="337" spans="2:12" x14ac:dyDescent="0.3">
      <c r="B337" s="5" t="s">
        <v>593</v>
      </c>
      <c r="C337" t="s">
        <v>248</v>
      </c>
      <c r="D337" t="s">
        <v>589</v>
      </c>
      <c r="E337" t="str">
        <f>IF(Tabella1[[#This Row],[Data type]]= "GEOMORPHOLOGICAL DATA", "G", "N")</f>
        <v>N</v>
      </c>
      <c r="G337" t="s">
        <v>216</v>
      </c>
      <c r="J337" t="str">
        <f t="shared" si="5"/>
        <v>altri_datiWIZ_U32WG_VS_SIT_GEO_250Kghiaie, sabbie</v>
      </c>
      <c r="K337">
        <f>_xlfn.XLOOKUP(Tabella1[[#This Row],[Concatenato]],'Original data'!D:D,'Original data'!E:E)</f>
        <v>93</v>
      </c>
      <c r="L337" t="s">
        <v>630</v>
      </c>
    </row>
    <row r="338" spans="2:12" x14ac:dyDescent="0.3">
      <c r="B338" s="5" t="s">
        <v>593</v>
      </c>
      <c r="C338" t="s">
        <v>248</v>
      </c>
      <c r="D338" t="s">
        <v>589</v>
      </c>
      <c r="E338" t="str">
        <f>IF(Tabella1[[#This Row],[Data type]]= "GEOMORPHOLOGICAL DATA", "G", "N")</f>
        <v>N</v>
      </c>
      <c r="G338" t="s">
        <v>160</v>
      </c>
      <c r="J338" t="str">
        <f t="shared" si="5"/>
        <v>altri_datiWIZ_U32WG_VS_SIT_GEO_250Kparagneiss a due miche, talora a sillimanite ove distinte</v>
      </c>
      <c r="K338">
        <f>_xlfn.XLOOKUP(Tabella1[[#This Row],[Concatenato]],'Original data'!D:D,'Original data'!E:E)</f>
        <v>93</v>
      </c>
      <c r="L338" t="s">
        <v>630</v>
      </c>
    </row>
    <row r="339" spans="2:12" x14ac:dyDescent="0.3">
      <c r="B339" t="s">
        <v>592</v>
      </c>
      <c r="C339" t="s">
        <v>443</v>
      </c>
      <c r="D339" t="s">
        <v>588</v>
      </c>
      <c r="E339" t="str">
        <f>IF(Tabella1[[#This Row],[Data type]]= "GEOMORPHOLOGICAL DATA", "G", "N")</f>
        <v>N</v>
      </c>
      <c r="G339" t="s">
        <v>352</v>
      </c>
      <c r="J339" t="str">
        <f t="shared" si="5"/>
        <v>Opere_Difesa_SuoloODS_TOT_puntirete</v>
      </c>
      <c r="K339">
        <f>_xlfn.XLOOKUP(Tabella1[[#This Row],[Concatenato]],'Original data'!D:D,'Original data'!E:E)</f>
        <v>93</v>
      </c>
      <c r="L339" t="s">
        <v>630</v>
      </c>
    </row>
    <row r="340" spans="2:12" x14ac:dyDescent="0.3">
      <c r="B340" s="5" t="s">
        <v>591</v>
      </c>
      <c r="C340" t="s">
        <v>137</v>
      </c>
      <c r="D340" t="s">
        <v>588</v>
      </c>
      <c r="E340" t="str">
        <f>IF(Tabella1[[#This Row],[Data type]]= "GEOMORPHOLOGICAL DATA", "G", "N")</f>
        <v>N</v>
      </c>
      <c r="G340" t="s">
        <v>134</v>
      </c>
      <c r="J340" t="str">
        <f t="shared" si="5"/>
        <v>basi_ambientali_pianuraWIZ_U32WG_VS_SIT_BASI_SOTTOAMBBassa pianura a meandri</v>
      </c>
      <c r="K340">
        <f>_xlfn.XLOOKUP(Tabella1[[#This Row],[Concatenato]],'Original data'!D:D,'Original data'!E:E)</f>
        <v>92</v>
      </c>
      <c r="L340" t="s">
        <v>630</v>
      </c>
    </row>
    <row r="341" spans="2:12" x14ac:dyDescent="0.3">
      <c r="B341" t="s">
        <v>592</v>
      </c>
      <c r="C341" t="s">
        <v>426</v>
      </c>
      <c r="D341" t="s">
        <v>586</v>
      </c>
      <c r="E341" t="str">
        <f>IF(Tabella1[[#This Row],[Data type]]= "GEOMORPHOLOGICAL DATA", "G", "N")</f>
        <v>G</v>
      </c>
      <c r="F341" t="s">
        <v>634</v>
      </c>
      <c r="G341" t="s">
        <v>436</v>
      </c>
      <c r="J341" t="str">
        <f t="shared" si="5"/>
        <v>Opere_Difesa_SuoloODS_TOT_lineebarriera elastoplastica</v>
      </c>
      <c r="K341">
        <f>_xlfn.XLOOKUP(Tabella1[[#This Row],[Concatenato]],'Original data'!D:D,'Original data'!E:E)</f>
        <v>105</v>
      </c>
      <c r="L341" t="s">
        <v>615</v>
      </c>
    </row>
    <row r="342" spans="2:12" x14ac:dyDescent="0.3">
      <c r="B342" s="5" t="s">
        <v>593</v>
      </c>
      <c r="C342" t="s">
        <v>148</v>
      </c>
      <c r="D342" t="s">
        <v>588</v>
      </c>
      <c r="E342" t="str">
        <f>IF(Tabella1[[#This Row],[Data type]]= "GEOMORPHOLOGICAL DATA", "G", "N")</f>
        <v>N</v>
      </c>
      <c r="G342" t="s">
        <v>151</v>
      </c>
      <c r="J342" t="str">
        <f t="shared" si="5"/>
        <v>altri_datiWIZ_U32WG_VS_SIRVAL_VA_AGGSPossibili continuazioni e collegamenti di valanghe</v>
      </c>
      <c r="K342">
        <f>_xlfn.XLOOKUP(Tabella1[[#This Row],[Concatenato]],'Original data'!D:D,'Original data'!E:E)</f>
        <v>91</v>
      </c>
      <c r="L342" t="s">
        <v>630</v>
      </c>
    </row>
    <row r="343" spans="2:12" x14ac:dyDescent="0.3">
      <c r="B343" t="s">
        <v>592</v>
      </c>
      <c r="C343" t="s">
        <v>443</v>
      </c>
      <c r="D343" t="s">
        <v>586</v>
      </c>
      <c r="E343" t="str">
        <f>IF(Tabella1[[#This Row],[Data type]]= "GEOMORPHOLOGICAL DATA", "G", "N")</f>
        <v>G</v>
      </c>
      <c r="F343" t="s">
        <v>634</v>
      </c>
      <c r="G343" t="s">
        <v>360</v>
      </c>
      <c r="J343" t="str">
        <f t="shared" si="5"/>
        <v>Opere_Difesa_SuoloODS_TOT_puntidisgaggio</v>
      </c>
      <c r="K343">
        <f>_xlfn.XLOOKUP(Tabella1[[#This Row],[Concatenato]],'Original data'!D:D,'Original data'!E:E)</f>
        <v>105</v>
      </c>
      <c r="L343" t="s">
        <v>615</v>
      </c>
    </row>
    <row r="344" spans="2:12" x14ac:dyDescent="0.3">
      <c r="B344" t="s">
        <v>592</v>
      </c>
      <c r="C344" t="s">
        <v>426</v>
      </c>
      <c r="D344" t="s">
        <v>586</v>
      </c>
      <c r="E344" t="str">
        <f>IF(Tabella1[[#This Row],[Data type]]= "GEOMORPHOLOGICAL DATA", "G", "N")</f>
        <v>G</v>
      </c>
      <c r="F344" t="s">
        <v>634</v>
      </c>
      <c r="G344" t="s">
        <v>408</v>
      </c>
      <c r="J344" t="str">
        <f t="shared" si="5"/>
        <v>Opere_Difesa_SuoloODS_TOT_lineesottomurazione</v>
      </c>
      <c r="K344">
        <f>_xlfn.XLOOKUP(Tabella1[[#This Row],[Concatenato]],'Original data'!D:D,'Original data'!E:E)</f>
        <v>105</v>
      </c>
      <c r="L344" t="s">
        <v>615</v>
      </c>
    </row>
    <row r="345" spans="2:12" x14ac:dyDescent="0.3">
      <c r="B345" t="s">
        <v>592</v>
      </c>
      <c r="C345" t="s">
        <v>443</v>
      </c>
      <c r="D345" t="s">
        <v>588</v>
      </c>
      <c r="E345" t="str">
        <f>IF(Tabella1[[#This Row],[Data type]]= "GEOMORPHOLOGICAL DATA", "G", "N")</f>
        <v>N</v>
      </c>
      <c r="G345" t="s">
        <v>432</v>
      </c>
      <c r="J345" t="str">
        <f t="shared" si="5"/>
        <v>Opere_Difesa_SuoloODS_TOT_puntidistometro</v>
      </c>
      <c r="K345">
        <f>_xlfn.XLOOKUP(Tabella1[[#This Row],[Concatenato]],'Original data'!D:D,'Original data'!E:E)</f>
        <v>87</v>
      </c>
      <c r="L345" t="s">
        <v>630</v>
      </c>
    </row>
    <row r="346" spans="2:12" x14ac:dyDescent="0.3">
      <c r="B346" s="5" t="s">
        <v>593</v>
      </c>
      <c r="C346" t="s">
        <v>248</v>
      </c>
      <c r="D346" t="s">
        <v>589</v>
      </c>
      <c r="E346" t="str">
        <f>IF(Tabella1[[#This Row],[Data type]]= "GEOMORPHOLOGICAL DATA", "G", "N")</f>
        <v>N</v>
      </c>
      <c r="G346" t="s">
        <v>182</v>
      </c>
      <c r="J346" t="str">
        <f t="shared" si="5"/>
        <v>altri_datiWIZ_U32WG_VS_SIT_GEO_250Karenarie</v>
      </c>
      <c r="K346">
        <f>_xlfn.XLOOKUP(Tabella1[[#This Row],[Concatenato]],'Original data'!D:D,'Original data'!E:E)</f>
        <v>86</v>
      </c>
      <c r="L346" t="s">
        <v>630</v>
      </c>
    </row>
    <row r="347" spans="2:12" x14ac:dyDescent="0.3">
      <c r="B347" s="5" t="s">
        <v>591</v>
      </c>
      <c r="C347" t="s">
        <v>137</v>
      </c>
      <c r="D347" t="s">
        <v>586</v>
      </c>
      <c r="E347" t="str">
        <f>IF(Tabella1[[#This Row],[Data type]]= "GEOMORPHOLOGICAL DATA", "G", "N")</f>
        <v>G</v>
      </c>
      <c r="F347" t="s">
        <v>644</v>
      </c>
      <c r="G347" t="s">
        <v>120</v>
      </c>
      <c r="J347" t="str">
        <f t="shared" si="5"/>
        <v>basi_ambientali_pianuraWIZ_U32WG_VS_SIT_BASI_SOTTOAMBFondovalli montani e intermorenici</v>
      </c>
      <c r="K347">
        <f>_xlfn.XLOOKUP(Tabella1[[#This Row],[Concatenato]],'Original data'!D:D,'Original data'!E:E)</f>
        <v>99</v>
      </c>
      <c r="L347" t="s">
        <v>615</v>
      </c>
    </row>
    <row r="348" spans="2:12" x14ac:dyDescent="0.3">
      <c r="B348" t="s">
        <v>592</v>
      </c>
      <c r="C348" t="s">
        <v>446</v>
      </c>
      <c r="D348" t="s">
        <v>586</v>
      </c>
      <c r="E348" t="str">
        <f>IF(Tabella1[[#This Row],[Data type]]= "GEOMORPHOLOGICAL DATA", "G", "N")</f>
        <v>G</v>
      </c>
      <c r="F348" t="s">
        <v>634</v>
      </c>
      <c r="G348" t="s">
        <v>348</v>
      </c>
      <c r="J348" t="str">
        <f t="shared" si="5"/>
        <v>Opere_Difesa_SuoloOPERE_FIUMI_PLmuratura</v>
      </c>
      <c r="K348">
        <f>_xlfn.XLOOKUP(Tabella1[[#This Row],[Concatenato]],'Original data'!D:D,'Original data'!E:E)</f>
        <v>99</v>
      </c>
      <c r="L348" t="s">
        <v>615</v>
      </c>
    </row>
    <row r="349" spans="2:12" x14ac:dyDescent="0.3">
      <c r="B349" t="s">
        <v>592</v>
      </c>
      <c r="C349" t="s">
        <v>443</v>
      </c>
      <c r="D349" t="s">
        <v>586</v>
      </c>
      <c r="E349" t="str">
        <f>IF(Tabella1[[#This Row],[Data type]]= "GEOMORPHOLOGICAL DATA", "G", "N")</f>
        <v>G</v>
      </c>
      <c r="F349" t="s">
        <v>634</v>
      </c>
      <c r="G349" t="s">
        <v>348</v>
      </c>
      <c r="J349" t="str">
        <f t="shared" si="5"/>
        <v>Opere_Difesa_SuoloODS_TOT_puntimuratura</v>
      </c>
      <c r="K349">
        <f>_xlfn.XLOOKUP(Tabella1[[#This Row],[Concatenato]],'Original data'!D:D,'Original data'!E:E)</f>
        <v>98</v>
      </c>
      <c r="L349" t="s">
        <v>615</v>
      </c>
    </row>
    <row r="350" spans="2:12" x14ac:dyDescent="0.3">
      <c r="B350" t="s">
        <v>592</v>
      </c>
      <c r="C350" t="s">
        <v>443</v>
      </c>
      <c r="D350" t="s">
        <v>588</v>
      </c>
      <c r="E350" t="str">
        <f>IF(Tabella1[[#This Row],[Data type]]= "GEOMORPHOLOGICAL DATA", "G", "N")</f>
        <v>N</v>
      </c>
      <c r="G350" t="s">
        <v>349</v>
      </c>
      <c r="J350" t="str">
        <f t="shared" si="5"/>
        <v>Opere_Difesa_SuoloODS_TOT_puntimovimento terra</v>
      </c>
      <c r="K350">
        <f>_xlfn.XLOOKUP(Tabella1[[#This Row],[Concatenato]],'Original data'!D:D,'Original data'!E:E)</f>
        <v>83</v>
      </c>
      <c r="L350" t="s">
        <v>630</v>
      </c>
    </row>
    <row r="351" spans="2:12" x14ac:dyDescent="0.3">
      <c r="B351" s="5" t="s">
        <v>593</v>
      </c>
      <c r="C351" t="s">
        <v>248</v>
      </c>
      <c r="D351" t="s">
        <v>589</v>
      </c>
      <c r="E351" t="str">
        <f>IF(Tabella1[[#This Row],[Data type]]= "GEOMORPHOLOGICAL DATA", "G", "N")</f>
        <v>N</v>
      </c>
      <c r="G351" t="s">
        <v>167</v>
      </c>
      <c r="J351" t="str">
        <f t="shared" si="5"/>
        <v>altri_datiWIZ_U32WG_VS_SIT_GEO_250Kgraniti e granodioriti</v>
      </c>
      <c r="K351">
        <f>_xlfn.XLOOKUP(Tabella1[[#This Row],[Concatenato]],'Original data'!D:D,'Original data'!E:E)</f>
        <v>81</v>
      </c>
      <c r="L351" t="s">
        <v>630</v>
      </c>
    </row>
    <row r="352" spans="2:12" x14ac:dyDescent="0.3">
      <c r="B352" s="5" t="s">
        <v>593</v>
      </c>
      <c r="C352" t="s">
        <v>248</v>
      </c>
      <c r="D352" t="s">
        <v>589</v>
      </c>
      <c r="E352" t="str">
        <f>IF(Tabella1[[#This Row],[Data type]]= "GEOMORPHOLOGICAL DATA", "G", "N")</f>
        <v>N</v>
      </c>
      <c r="G352" t="s">
        <v>201</v>
      </c>
      <c r="J352" t="str">
        <f t="shared" si="5"/>
        <v>altri_datiWIZ_U32WG_VS_SIT_GEO_250Kghiaie, bolcchi e limi</v>
      </c>
      <c r="K352">
        <f>_xlfn.XLOOKUP(Tabella1[[#This Row],[Concatenato]],'Original data'!D:D,'Original data'!E:E)</f>
        <v>78</v>
      </c>
      <c r="L352" t="s">
        <v>630</v>
      </c>
    </row>
    <row r="353" spans="2:12" x14ac:dyDescent="0.3">
      <c r="B353" s="5" t="s">
        <v>591</v>
      </c>
      <c r="C353" t="s">
        <v>92</v>
      </c>
      <c r="D353" t="s">
        <v>586</v>
      </c>
      <c r="E353" t="str">
        <f>IF(Tabella1[[#This Row],[Data type]]= "GEOMORPHOLOGICAL DATA", "G", "N")</f>
        <v>G</v>
      </c>
      <c r="F353" t="s">
        <v>633</v>
      </c>
      <c r="G353" t="s">
        <v>116</v>
      </c>
      <c r="J353" t="str">
        <f t="shared" si="5"/>
        <v>basi_ambientali_pianuraWIZ_U32WG_VS_SIT_BASI_ELELINErosione di sponda</v>
      </c>
      <c r="K353">
        <f>_xlfn.XLOOKUP(Tabella1[[#This Row],[Concatenato]],'Original data'!D:D,'Original data'!E:E)</f>
        <v>92</v>
      </c>
      <c r="L353" t="s">
        <v>615</v>
      </c>
    </row>
    <row r="354" spans="2:12" x14ac:dyDescent="0.3">
      <c r="B354" s="5" t="s">
        <v>593</v>
      </c>
      <c r="C354" t="s">
        <v>248</v>
      </c>
      <c r="D354" t="s">
        <v>589</v>
      </c>
      <c r="E354" t="str">
        <f>IF(Tabella1[[#This Row],[Data type]]= "GEOMORPHOLOGICAL DATA", "G", "N")</f>
        <v>N</v>
      </c>
      <c r="G354" t="s">
        <v>176</v>
      </c>
      <c r="J354" t="str">
        <f t="shared" si="5"/>
        <v>altri_datiWIZ_U32WG_VS_SIT_GEO_250Kdioriti e gabbri</v>
      </c>
      <c r="K354">
        <f>_xlfn.XLOOKUP(Tabella1[[#This Row],[Concatenato]],'Original data'!D:D,'Original data'!E:E)</f>
        <v>77</v>
      </c>
      <c r="L354" t="s">
        <v>630</v>
      </c>
    </row>
    <row r="355" spans="2:12" x14ac:dyDescent="0.3">
      <c r="B355" s="5" t="s">
        <v>593</v>
      </c>
      <c r="C355" t="s">
        <v>248</v>
      </c>
      <c r="D355" t="s">
        <v>589</v>
      </c>
      <c r="E355" t="str">
        <f>IF(Tabella1[[#This Row],[Data type]]= "GEOMORPHOLOGICAL DATA", "G", "N")</f>
        <v>N</v>
      </c>
      <c r="G355" t="s">
        <v>192</v>
      </c>
      <c r="J355" t="str">
        <f t="shared" si="5"/>
        <v>altri_datiWIZ_U32WG_VS_SIT_GEO_250Kconglomerati, arenarie</v>
      </c>
      <c r="K355">
        <f>_xlfn.XLOOKUP(Tabella1[[#This Row],[Concatenato]],'Original data'!D:D,'Original data'!E:E)</f>
        <v>75</v>
      </c>
      <c r="L355" t="s">
        <v>630</v>
      </c>
    </row>
    <row r="356" spans="2:12" x14ac:dyDescent="0.3">
      <c r="B356" t="s">
        <v>592</v>
      </c>
      <c r="C356" t="s">
        <v>443</v>
      </c>
      <c r="D356" t="s">
        <v>588</v>
      </c>
      <c r="E356" t="str">
        <f>IF(Tabella1[[#This Row],[Data type]]= "GEOMORPHOLOGICAL DATA", "G", "N")</f>
        <v>N</v>
      </c>
      <c r="G356" t="s">
        <v>433</v>
      </c>
      <c r="J356" t="str">
        <f t="shared" si="5"/>
        <v>Opere_Difesa_SuoloODS_TOT_puntiestensimetro</v>
      </c>
      <c r="K356">
        <f>_xlfn.XLOOKUP(Tabella1[[#This Row],[Concatenato]],'Original data'!D:D,'Original data'!E:E)</f>
        <v>75</v>
      </c>
      <c r="L356" t="s">
        <v>630</v>
      </c>
    </row>
    <row r="357" spans="2:12" x14ac:dyDescent="0.3">
      <c r="B357" s="5" t="s">
        <v>593</v>
      </c>
      <c r="C357" t="s">
        <v>248</v>
      </c>
      <c r="D357" t="s">
        <v>589</v>
      </c>
      <c r="E357" t="str">
        <f>IF(Tabella1[[#This Row],[Data type]]= "GEOMORPHOLOGICAL DATA", "G", "N")</f>
        <v>N</v>
      </c>
      <c r="G357" t="s">
        <v>202</v>
      </c>
      <c r="J357" t="str">
        <f t="shared" si="5"/>
        <v>altri_datiWIZ_U32WG_VS_SIT_GEO_250Kmarne, aren., calc., argil./calc. sel., aren., marne, dol. s</v>
      </c>
      <c r="K357">
        <f>_xlfn.XLOOKUP(Tabella1[[#This Row],[Concatenato]],'Original data'!D:D,'Original data'!E:E)</f>
        <v>74</v>
      </c>
      <c r="L357" t="s">
        <v>630</v>
      </c>
    </row>
    <row r="358" spans="2:12" x14ac:dyDescent="0.3">
      <c r="B358" t="s">
        <v>592</v>
      </c>
      <c r="C358" t="s">
        <v>443</v>
      </c>
      <c r="D358" t="s">
        <v>586</v>
      </c>
      <c r="E358" t="str">
        <f>IF(Tabella1[[#This Row],[Data type]]= "GEOMORPHOLOGICAL DATA", "G", "N")</f>
        <v>G</v>
      </c>
      <c r="F358" t="s">
        <v>634</v>
      </c>
      <c r="G358" t="s">
        <v>335</v>
      </c>
      <c r="J358" t="str">
        <f t="shared" si="5"/>
        <v>Opere_Difesa_SuoloODS_TOT_puntipalificata viva</v>
      </c>
      <c r="K358">
        <f>_xlfn.XLOOKUP(Tabella1[[#This Row],[Concatenato]],'Original data'!D:D,'Original data'!E:E)</f>
        <v>85</v>
      </c>
      <c r="L358" t="s">
        <v>615</v>
      </c>
    </row>
    <row r="359" spans="2:12" x14ac:dyDescent="0.3">
      <c r="B359" t="s">
        <v>592</v>
      </c>
      <c r="C359" t="s">
        <v>426</v>
      </c>
      <c r="D359" t="s">
        <v>586</v>
      </c>
      <c r="E359" t="str">
        <f>IF(Tabella1[[#This Row],[Data type]]= "GEOMORPHOLOGICAL DATA", "G", "N")</f>
        <v>G</v>
      </c>
      <c r="F359" t="s">
        <v>634</v>
      </c>
      <c r="G359" t="s">
        <v>334</v>
      </c>
      <c r="J359" t="str">
        <f t="shared" si="5"/>
        <v>Opere_Difesa_SuoloODS_TOT_lineegradonata viva</v>
      </c>
      <c r="K359">
        <f>_xlfn.XLOOKUP(Tabella1[[#This Row],[Concatenato]],'Original data'!D:D,'Original data'!E:E)</f>
        <v>75</v>
      </c>
      <c r="L359" t="s">
        <v>615</v>
      </c>
    </row>
    <row r="360" spans="2:12" x14ac:dyDescent="0.3">
      <c r="B360" t="s">
        <v>592</v>
      </c>
      <c r="C360" t="s">
        <v>425</v>
      </c>
      <c r="D360" t="s">
        <v>586</v>
      </c>
      <c r="E360" t="str">
        <f>IF(Tabella1[[#This Row],[Data type]]= "GEOMORPHOLOGICAL DATA", "G", "N")</f>
        <v>G</v>
      </c>
      <c r="F360" t="s">
        <v>634</v>
      </c>
      <c r="G360" t="s">
        <v>391</v>
      </c>
      <c r="J360" t="str">
        <f t="shared" si="5"/>
        <v>Opere_Difesa_SuoloODS_TOT_areescoronamento</v>
      </c>
      <c r="K360">
        <f>_xlfn.XLOOKUP(Tabella1[[#This Row],[Concatenato]],'Original data'!D:D,'Original data'!E:E)</f>
        <v>74</v>
      </c>
      <c r="L360" t="s">
        <v>615</v>
      </c>
    </row>
    <row r="361" spans="2:12" x14ac:dyDescent="0.3">
      <c r="B361" t="s">
        <v>592</v>
      </c>
      <c r="C361" t="s">
        <v>425</v>
      </c>
      <c r="D361" t="s">
        <v>586</v>
      </c>
      <c r="E361" t="str">
        <f>IF(Tabella1[[#This Row],[Data type]]= "GEOMORPHOLOGICAL DATA", "G", "N")</f>
        <v>G</v>
      </c>
      <c r="F361" t="s">
        <v>634</v>
      </c>
      <c r="G361" t="s">
        <v>357</v>
      </c>
      <c r="J361" t="str">
        <f t="shared" si="5"/>
        <v>Opere_Difesa_SuoloODS_TOT_areeterra armata/rinforzata</v>
      </c>
      <c r="K361">
        <f>_xlfn.XLOOKUP(Tabella1[[#This Row],[Concatenato]],'Original data'!D:D,'Original data'!E:E)</f>
        <v>73</v>
      </c>
      <c r="L361" t="s">
        <v>615</v>
      </c>
    </row>
    <row r="362" spans="2:12" x14ac:dyDescent="0.3">
      <c r="B362" s="5" t="s">
        <v>593</v>
      </c>
      <c r="C362" t="s">
        <v>248</v>
      </c>
      <c r="D362" t="s">
        <v>589</v>
      </c>
      <c r="E362" t="str">
        <f>IF(Tabella1[[#This Row],[Data type]]= "GEOMORPHOLOGICAL DATA", "G", "N")</f>
        <v>N</v>
      </c>
      <c r="G362" t="s">
        <v>164</v>
      </c>
      <c r="J362" t="str">
        <f t="shared" si="5"/>
        <v>altri_datiWIZ_U32WG_VS_SIT_GEO_250Kmarmi (''calcari cristallini'' Auct.)</v>
      </c>
      <c r="K362">
        <f>_xlfn.XLOOKUP(Tabella1[[#This Row],[Concatenato]],'Original data'!D:D,'Original data'!E:E)</f>
        <v>69</v>
      </c>
      <c r="L362" t="s">
        <v>630</v>
      </c>
    </row>
    <row r="363" spans="2:12" x14ac:dyDescent="0.3">
      <c r="B363" s="5" t="s">
        <v>593</v>
      </c>
      <c r="C363" t="s">
        <v>248</v>
      </c>
      <c r="D363" t="s">
        <v>589</v>
      </c>
      <c r="E363" t="str">
        <f>IF(Tabella1[[#This Row],[Data type]]= "GEOMORPHOLOGICAL DATA", "G", "N")</f>
        <v>N</v>
      </c>
      <c r="G363" t="s">
        <v>204</v>
      </c>
      <c r="J363" t="str">
        <f t="shared" si="5"/>
        <v>altri_datiWIZ_U32WG_VS_SIT_GEO_250Kmarne, calcari marnosi/''calcari selciferi lombardi''</v>
      </c>
      <c r="K363">
        <f>_xlfn.XLOOKUP(Tabella1[[#This Row],[Concatenato]],'Original data'!D:D,'Original data'!E:E)</f>
        <v>69</v>
      </c>
      <c r="L363" t="s">
        <v>630</v>
      </c>
    </row>
    <row r="364" spans="2:12" x14ac:dyDescent="0.3">
      <c r="B364" t="s">
        <v>592</v>
      </c>
      <c r="C364" t="s">
        <v>425</v>
      </c>
      <c r="D364" t="s">
        <v>587</v>
      </c>
      <c r="E364" t="str">
        <f>IF(Tabella1[[#This Row],[Data type]]= "GEOMORPHOLOGICAL DATA", "G", "N")</f>
        <v>N</v>
      </c>
      <c r="G364" t="s">
        <v>380</v>
      </c>
      <c r="J364" t="str">
        <f t="shared" si="5"/>
        <v>Opere_Difesa_SuoloODS_TOT_areerimboschimento</v>
      </c>
      <c r="K364">
        <f>_xlfn.XLOOKUP(Tabella1[[#This Row],[Concatenato]],'Original data'!D:D,'Original data'!E:E)</f>
        <v>69</v>
      </c>
      <c r="L364" t="s">
        <v>630</v>
      </c>
    </row>
    <row r="365" spans="2:12" x14ac:dyDescent="0.3">
      <c r="B365" t="s">
        <v>592</v>
      </c>
      <c r="C365" t="s">
        <v>426</v>
      </c>
      <c r="D365" t="s">
        <v>586</v>
      </c>
      <c r="E365" t="str">
        <f>IF(Tabella1[[#This Row],[Data type]]= "GEOMORPHOLOGICAL DATA", "G", "N")</f>
        <v>G</v>
      </c>
      <c r="F365" t="s">
        <v>634</v>
      </c>
      <c r="G365" t="s">
        <v>384</v>
      </c>
      <c r="J365" t="str">
        <f t="shared" si="5"/>
        <v>Opere_Difesa_SuoloODS_TOT_lineedreni sub-orizzontali</v>
      </c>
      <c r="K365">
        <f>_xlfn.XLOOKUP(Tabella1[[#This Row],[Concatenato]],'Original data'!D:D,'Original data'!E:E)</f>
        <v>71</v>
      </c>
      <c r="L365" t="s">
        <v>615</v>
      </c>
    </row>
    <row r="366" spans="2:12" x14ac:dyDescent="0.3">
      <c r="B366" s="5" t="s">
        <v>593</v>
      </c>
      <c r="C366" t="s">
        <v>248</v>
      </c>
      <c r="D366" t="s">
        <v>589</v>
      </c>
      <c r="E366" t="str">
        <f>IF(Tabella1[[#This Row],[Data type]]= "GEOMORPHOLOGICAL DATA", "G", "N")</f>
        <v>N</v>
      </c>
      <c r="G366" t="s">
        <v>212</v>
      </c>
      <c r="J366" t="str">
        <f t="shared" si="5"/>
        <v>altri_datiWIZ_U32WG_VS_SIT_GEO_250Kconglomerati, sabbie, argille</v>
      </c>
      <c r="K366">
        <f>_xlfn.XLOOKUP(Tabella1[[#This Row],[Concatenato]],'Original data'!D:D,'Original data'!E:E)</f>
        <v>66</v>
      </c>
      <c r="L366" t="s">
        <v>630</v>
      </c>
    </row>
    <row r="367" spans="2:12" x14ac:dyDescent="0.3">
      <c r="B367" t="s">
        <v>592</v>
      </c>
      <c r="C367" t="s">
        <v>425</v>
      </c>
      <c r="D367" t="s">
        <v>586</v>
      </c>
      <c r="E367" t="str">
        <f>IF(Tabella1[[#This Row],[Data type]]= "GEOMORPHOLOGICAL DATA", "G", "N")</f>
        <v>G</v>
      </c>
      <c r="F367" t="s">
        <v>634</v>
      </c>
      <c r="G367" t="s">
        <v>371</v>
      </c>
      <c r="J367" t="str">
        <f t="shared" si="5"/>
        <v>Opere_Difesa_SuoloODS_TOT_areegabbionata</v>
      </c>
      <c r="K367">
        <f>_xlfn.XLOOKUP(Tabella1[[#This Row],[Concatenato]],'Original data'!D:D,'Original data'!E:E)</f>
        <v>70</v>
      </c>
      <c r="L367" t="s">
        <v>615</v>
      </c>
    </row>
    <row r="368" spans="2:12" x14ac:dyDescent="0.3">
      <c r="B368" t="s">
        <v>592</v>
      </c>
      <c r="C368" t="s">
        <v>443</v>
      </c>
      <c r="D368" t="s">
        <v>588</v>
      </c>
      <c r="E368" t="str">
        <f>IF(Tabella1[[#This Row],[Data type]]= "GEOMORPHOLOGICAL DATA", "G", "N")</f>
        <v>N</v>
      </c>
      <c r="G368" t="s">
        <v>353</v>
      </c>
      <c r="J368" t="str">
        <f t="shared" si="5"/>
        <v>Opere_Difesa_SuoloODS_TOT_puntiancoraggio-tiranti</v>
      </c>
      <c r="K368">
        <f>_xlfn.XLOOKUP(Tabella1[[#This Row],[Concatenato]],'Original data'!D:D,'Original data'!E:E)</f>
        <v>64</v>
      </c>
      <c r="L368" t="s">
        <v>630</v>
      </c>
    </row>
    <row r="369" spans="2:12" x14ac:dyDescent="0.3">
      <c r="B369" s="5" t="s">
        <v>591</v>
      </c>
      <c r="C369" t="s">
        <v>89</v>
      </c>
      <c r="D369" t="s">
        <v>588</v>
      </c>
      <c r="E369" t="s">
        <v>643</v>
      </c>
      <c r="G369" t="s">
        <v>88</v>
      </c>
      <c r="J369" t="str">
        <f t="shared" si="5"/>
        <v xml:space="preserve">basi_ambientali_pianuraWIZ_U32WG_VS_SIT_BASI_AREE_PALUaree palustri </v>
      </c>
      <c r="K369">
        <f>_xlfn.XLOOKUP(Tabella1[[#This Row],[Concatenato]],'Original data'!D:D,'Original data'!E:E)</f>
        <v>68</v>
      </c>
      <c r="L369" t="s">
        <v>630</v>
      </c>
    </row>
    <row r="370" spans="2:12" x14ac:dyDescent="0.3">
      <c r="B370" t="s">
        <v>592</v>
      </c>
      <c r="C370" t="s">
        <v>426</v>
      </c>
      <c r="D370" t="s">
        <v>586</v>
      </c>
      <c r="E370" t="str">
        <f>IF(Tabella1[[#This Row],[Data type]]= "GEOMORPHOLOGICAL DATA", "G", "N")</f>
        <v>G</v>
      </c>
      <c r="F370" t="s">
        <v>634</v>
      </c>
      <c r="G370" t="s">
        <v>365</v>
      </c>
      <c r="J370" t="str">
        <f t="shared" si="5"/>
        <v>Opere_Difesa_SuoloODS_TOT_lineegrata viva</v>
      </c>
      <c r="K370">
        <f>_xlfn.XLOOKUP(Tabella1[[#This Row],[Concatenato]],'Original data'!D:D,'Original data'!E:E)</f>
        <v>65</v>
      </c>
      <c r="L370" t="s">
        <v>615</v>
      </c>
    </row>
    <row r="371" spans="2:12" x14ac:dyDescent="0.3">
      <c r="B371" t="s">
        <v>592</v>
      </c>
      <c r="C371" t="s">
        <v>443</v>
      </c>
      <c r="D371" t="s">
        <v>586</v>
      </c>
      <c r="E371" t="str">
        <f>IF(Tabella1[[#This Row],[Data type]]= "GEOMORPHOLOGICAL DATA", "G", "N")</f>
        <v>G</v>
      </c>
      <c r="F371" t="s">
        <v>634</v>
      </c>
      <c r="G371" t="s">
        <v>408</v>
      </c>
      <c r="J371" t="str">
        <f t="shared" si="5"/>
        <v>Opere_Difesa_SuoloODS_TOT_puntisottomurazione</v>
      </c>
      <c r="K371">
        <f>_xlfn.XLOOKUP(Tabella1[[#This Row],[Concatenato]],'Original data'!D:D,'Original data'!E:E)</f>
        <v>63</v>
      </c>
      <c r="L371" t="s">
        <v>615</v>
      </c>
    </row>
    <row r="372" spans="2:12" x14ac:dyDescent="0.3">
      <c r="B372" s="5" t="s">
        <v>593</v>
      </c>
      <c r="C372" t="s">
        <v>248</v>
      </c>
      <c r="D372" t="s">
        <v>589</v>
      </c>
      <c r="E372" t="str">
        <f>IF(Tabella1[[#This Row],[Data type]]= "GEOMORPHOLOGICAL DATA", "G", "N")</f>
        <v>N</v>
      </c>
      <c r="G372" t="s">
        <v>214</v>
      </c>
      <c r="J372" t="str">
        <f t="shared" si="5"/>
        <v>altri_datiWIZ_U32WG_VS_SIT_GEO_250Kmarne</v>
      </c>
      <c r="K372">
        <f>_xlfn.XLOOKUP(Tabella1[[#This Row],[Concatenato]],'Original data'!D:D,'Original data'!E:E)</f>
        <v>60</v>
      </c>
      <c r="L372" t="s">
        <v>630</v>
      </c>
    </row>
    <row r="373" spans="2:12" x14ac:dyDescent="0.3">
      <c r="B373" s="5" t="s">
        <v>591</v>
      </c>
      <c r="C373" t="s">
        <v>137</v>
      </c>
      <c r="D373" t="s">
        <v>588</v>
      </c>
      <c r="E373" t="str">
        <f>IF(Tabella1[[#This Row],[Data type]]= "GEOMORPHOLOGICAL DATA", "G", "N")</f>
        <v>N</v>
      </c>
      <c r="G373" t="s">
        <v>123</v>
      </c>
      <c r="J373" t="str">
        <f t="shared" si="5"/>
        <v>basi_ambientali_pianuraWIZ_U32WG_VS_SIT_BASI_SOTTOAMBRilievi alpini al bordo della pianura - Piano basale</v>
      </c>
      <c r="K373">
        <f>_xlfn.XLOOKUP(Tabella1[[#This Row],[Concatenato]],'Original data'!D:D,'Original data'!E:E)</f>
        <v>60</v>
      </c>
      <c r="L373" t="s">
        <v>630</v>
      </c>
    </row>
    <row r="374" spans="2:12" x14ac:dyDescent="0.3">
      <c r="B374" s="5" t="s">
        <v>593</v>
      </c>
      <c r="C374" t="s">
        <v>248</v>
      </c>
      <c r="D374" t="s">
        <v>589</v>
      </c>
      <c r="E374" t="str">
        <f>IF(Tabella1[[#This Row],[Data type]]= "GEOMORPHOLOGICAL DATA", "G", "N")</f>
        <v>N</v>
      </c>
      <c r="G374" t="s">
        <v>198</v>
      </c>
      <c r="J374" t="str">
        <f t="shared" si="5"/>
        <v>altri_datiWIZ_U32WG_VS_SIT_GEO_250Kgneiss granitici e granodioritici,tal. occhiadini; porfiroid</v>
      </c>
      <c r="K374">
        <f>_xlfn.XLOOKUP(Tabella1[[#This Row],[Concatenato]],'Original data'!D:D,'Original data'!E:E)</f>
        <v>59</v>
      </c>
      <c r="L374" t="s">
        <v>630</v>
      </c>
    </row>
    <row r="375" spans="2:12" x14ac:dyDescent="0.3">
      <c r="B375" s="5" t="s">
        <v>593</v>
      </c>
      <c r="C375" t="s">
        <v>248</v>
      </c>
      <c r="D375" t="s">
        <v>589</v>
      </c>
      <c r="E375" t="str">
        <f>IF(Tabella1[[#This Row],[Data type]]= "GEOMORPHOLOGICAL DATA", "G", "N")</f>
        <v>N</v>
      </c>
      <c r="G375" t="s">
        <v>217</v>
      </c>
      <c r="J375" t="str">
        <f t="shared" si="5"/>
        <v>altri_datiWIZ_U32WG_VS_SIT_GEO_250Kcalcari e calcari marnosi selciferi, marne</v>
      </c>
      <c r="K375">
        <f>_xlfn.XLOOKUP(Tabella1[[#This Row],[Concatenato]],'Original data'!D:D,'Original data'!E:E)</f>
        <v>57</v>
      </c>
      <c r="L375" t="s">
        <v>630</v>
      </c>
    </row>
    <row r="376" spans="2:12" x14ac:dyDescent="0.3">
      <c r="B376" t="s">
        <v>592</v>
      </c>
      <c r="C376" t="s">
        <v>426</v>
      </c>
      <c r="D376" t="s">
        <v>586</v>
      </c>
      <c r="E376" t="str">
        <f>IF(Tabella1[[#This Row],[Data type]]= "GEOMORPHOLOGICAL DATA", "G", "N")</f>
        <v>G</v>
      </c>
      <c r="F376" t="s">
        <v>634</v>
      </c>
      <c r="G376" t="s">
        <v>422</v>
      </c>
      <c r="J376" t="str">
        <f t="shared" si="5"/>
        <v>Opere_Difesa_SuoloODS_TOT_lineerete elastoplastica</v>
      </c>
      <c r="K376">
        <f>_xlfn.XLOOKUP(Tabella1[[#This Row],[Concatenato]],'Original data'!D:D,'Original data'!E:E)</f>
        <v>62</v>
      </c>
      <c r="L376" t="s">
        <v>615</v>
      </c>
    </row>
    <row r="377" spans="2:12" x14ac:dyDescent="0.3">
      <c r="B377" t="s">
        <v>592</v>
      </c>
      <c r="C377" t="s">
        <v>426</v>
      </c>
      <c r="D377" t="s">
        <v>586</v>
      </c>
      <c r="E377" t="str">
        <f>IF(Tabella1[[#This Row],[Data type]]= "GEOMORPHOLOGICAL DATA", "G", "N")</f>
        <v>G</v>
      </c>
      <c r="F377" t="s">
        <v>634</v>
      </c>
      <c r="G377" t="s">
        <v>435</v>
      </c>
      <c r="J377" t="str">
        <f t="shared" si="5"/>
        <v>Opere_Difesa_SuoloODS_TOT_lineebarriera rigida</v>
      </c>
      <c r="K377">
        <f>_xlfn.XLOOKUP(Tabella1[[#This Row],[Concatenato]],'Original data'!D:D,'Original data'!E:E)</f>
        <v>57</v>
      </c>
      <c r="L377" t="s">
        <v>615</v>
      </c>
    </row>
    <row r="378" spans="2:12" x14ac:dyDescent="0.3">
      <c r="B378" s="5" t="s">
        <v>593</v>
      </c>
      <c r="C378" t="s">
        <v>248</v>
      </c>
      <c r="D378" t="s">
        <v>589</v>
      </c>
      <c r="E378" t="str">
        <f>IF(Tabella1[[#This Row],[Data type]]= "GEOMORPHOLOGICAL DATA", "G", "N")</f>
        <v>N</v>
      </c>
      <c r="G378" t="s">
        <v>225</v>
      </c>
      <c r="J378" t="str">
        <f t="shared" si="5"/>
        <v>altri_datiWIZ_U32WG_VS_SIT_GEO_250Kghiaie, limi e argille fortemente ferrettizzati</v>
      </c>
      <c r="K378">
        <f>_xlfn.XLOOKUP(Tabella1[[#This Row],[Concatenato]],'Original data'!D:D,'Original data'!E:E)</f>
        <v>56</v>
      </c>
      <c r="L378" t="s">
        <v>630</v>
      </c>
    </row>
    <row r="379" spans="2:12" x14ac:dyDescent="0.3">
      <c r="B379" t="s">
        <v>592</v>
      </c>
      <c r="C379" t="s">
        <v>426</v>
      </c>
      <c r="D379" t="s">
        <v>586</v>
      </c>
      <c r="E379" t="str">
        <f>IF(Tabella1[[#This Row],[Data type]]= "GEOMORPHOLOGICAL DATA", "G", "N")</f>
        <v>G</v>
      </c>
      <c r="F379" t="s">
        <v>634</v>
      </c>
      <c r="G379" t="s">
        <v>414</v>
      </c>
      <c r="J379" t="str">
        <f t="shared" si="5"/>
        <v>Opere_Difesa_SuoloODS_TOT_lineemuro cellulare</v>
      </c>
      <c r="K379">
        <f>_xlfn.XLOOKUP(Tabella1[[#This Row],[Concatenato]],'Original data'!D:D,'Original data'!E:E)</f>
        <v>57</v>
      </c>
      <c r="L379" t="s">
        <v>615</v>
      </c>
    </row>
    <row r="380" spans="2:12" x14ac:dyDescent="0.3">
      <c r="B380" t="s">
        <v>592</v>
      </c>
      <c r="C380" t="s">
        <v>443</v>
      </c>
      <c r="D380" t="s">
        <v>586</v>
      </c>
      <c r="E380" t="str">
        <f>IF(Tabella1[[#This Row],[Data type]]= "GEOMORPHOLOGICAL DATA", "G", "N")</f>
        <v>G</v>
      </c>
      <c r="F380" t="s">
        <v>634</v>
      </c>
      <c r="G380" t="s">
        <v>363</v>
      </c>
      <c r="J380" t="str">
        <f t="shared" si="5"/>
        <v>Opere_Difesa_SuoloODS_TOT_puntisvaso</v>
      </c>
      <c r="K380">
        <f>_xlfn.XLOOKUP(Tabella1[[#This Row],[Concatenato]],'Original data'!D:D,'Original data'!E:E)</f>
        <v>56</v>
      </c>
      <c r="L380" t="s">
        <v>615</v>
      </c>
    </row>
    <row r="381" spans="2:12" x14ac:dyDescent="0.3">
      <c r="B381" t="s">
        <v>592</v>
      </c>
      <c r="C381" t="s">
        <v>426</v>
      </c>
      <c r="D381" t="s">
        <v>586</v>
      </c>
      <c r="E381" t="str">
        <f>IF(Tabella1[[#This Row],[Data type]]= "GEOMORPHOLOGICAL DATA", "G", "N")</f>
        <v>G</v>
      </c>
      <c r="F381" t="s">
        <v>634</v>
      </c>
      <c r="G381" t="s">
        <v>356</v>
      </c>
      <c r="J381" t="str">
        <f t="shared" si="5"/>
        <v>Opere_Difesa_SuoloODS_TOT_lineevallo/rilevato</v>
      </c>
      <c r="K381">
        <f>_xlfn.XLOOKUP(Tabella1[[#This Row],[Concatenato]],'Original data'!D:D,'Original data'!E:E)</f>
        <v>56</v>
      </c>
      <c r="L381" t="s">
        <v>615</v>
      </c>
    </row>
    <row r="382" spans="2:12" x14ac:dyDescent="0.3">
      <c r="B382" s="5" t="s">
        <v>593</v>
      </c>
      <c r="C382" t="s">
        <v>248</v>
      </c>
      <c r="D382" t="s">
        <v>589</v>
      </c>
      <c r="E382" t="str">
        <f>IF(Tabella1[[#This Row],[Data type]]= "GEOMORPHOLOGICAL DATA", "G", "N")</f>
        <v>N</v>
      </c>
      <c r="G382" t="s">
        <v>194</v>
      </c>
      <c r="J382" t="str">
        <f t="shared" si="5"/>
        <v>altri_datiWIZ_U32WG_VS_SIT_GEO_250Kselci marne calcari</v>
      </c>
      <c r="K382">
        <f>_xlfn.XLOOKUP(Tabella1[[#This Row],[Concatenato]],'Original data'!D:D,'Original data'!E:E)</f>
        <v>54</v>
      </c>
      <c r="L382" t="s">
        <v>630</v>
      </c>
    </row>
    <row r="383" spans="2:12" x14ac:dyDescent="0.3">
      <c r="B383" s="5" t="s">
        <v>591</v>
      </c>
      <c r="C383" t="s">
        <v>140</v>
      </c>
      <c r="D383" t="s">
        <v>586</v>
      </c>
      <c r="E383" t="str">
        <f>IF(Tabella1[[#This Row],[Data type]]= "GEOMORPHOLOGICAL DATA", "G", "N")</f>
        <v>G</v>
      </c>
      <c r="F383" t="s">
        <v>634</v>
      </c>
      <c r="G383" t="s">
        <v>144</v>
      </c>
      <c r="J383" t="str">
        <f t="shared" si="5"/>
        <v>basi_ambientali_pianuraWIZ_U32WG_VS_SIT_IDRO_ARGINIAltri tipi di argini</v>
      </c>
      <c r="K383">
        <f>_xlfn.XLOOKUP(Tabella1[[#This Row],[Concatenato]],'Original data'!D:D,'Original data'!E:E)</f>
        <v>55</v>
      </c>
      <c r="L383" t="s">
        <v>615</v>
      </c>
    </row>
    <row r="384" spans="2:12" x14ac:dyDescent="0.3">
      <c r="B384" t="s">
        <v>592</v>
      </c>
      <c r="C384" t="s">
        <v>426</v>
      </c>
      <c r="D384" t="s">
        <v>588</v>
      </c>
      <c r="E384" t="str">
        <f>IF(Tabella1[[#This Row],[Data type]]= "GEOMORPHOLOGICAL DATA", "G", "N")</f>
        <v>N</v>
      </c>
      <c r="G384" t="s">
        <v>396</v>
      </c>
      <c r="J384" t="str">
        <f t="shared" si="5"/>
        <v>Opere_Difesa_SuoloODS_TOT_lineepali</v>
      </c>
      <c r="K384">
        <f>_xlfn.XLOOKUP(Tabella1[[#This Row],[Concatenato]],'Original data'!D:D,'Original data'!E:E)</f>
        <v>53</v>
      </c>
      <c r="L384" t="s">
        <v>630</v>
      </c>
    </row>
    <row r="385" spans="2:12" x14ac:dyDescent="0.3">
      <c r="B385" t="s">
        <v>592</v>
      </c>
      <c r="C385" t="s">
        <v>425</v>
      </c>
      <c r="D385" t="s">
        <v>586</v>
      </c>
      <c r="E385" t="str">
        <f>IF(Tabella1[[#This Row],[Data type]]= "GEOMORPHOLOGICAL DATA", "G", "N")</f>
        <v>G</v>
      </c>
      <c r="F385" t="s">
        <v>634</v>
      </c>
      <c r="G385" t="s">
        <v>365</v>
      </c>
      <c r="J385" t="str">
        <f t="shared" si="5"/>
        <v>Opere_Difesa_SuoloODS_TOT_areegrata viva</v>
      </c>
      <c r="K385">
        <f>_xlfn.XLOOKUP(Tabella1[[#This Row],[Concatenato]],'Original data'!D:D,'Original data'!E:E)</f>
        <v>55</v>
      </c>
      <c r="L385" t="s">
        <v>615</v>
      </c>
    </row>
    <row r="386" spans="2:12" x14ac:dyDescent="0.3">
      <c r="B386" t="s">
        <v>592</v>
      </c>
      <c r="C386" t="s">
        <v>426</v>
      </c>
      <c r="D386" t="s">
        <v>586</v>
      </c>
      <c r="E386" t="str">
        <f>IF(Tabella1[[#This Row],[Data type]]= "GEOMORPHOLOGICAL DATA", "G", "N")</f>
        <v>G</v>
      </c>
      <c r="F386" t="s">
        <v>634</v>
      </c>
      <c r="G386" t="s">
        <v>398</v>
      </c>
      <c r="J386" t="str">
        <f t="shared" ref="J386:J449" si="6">_xlfn.CONCAT(B386,C386,G386)</f>
        <v>Opere_Difesa_SuoloODS_TOT_lineecordonata</v>
      </c>
      <c r="K386">
        <f>_xlfn.XLOOKUP(Tabella1[[#This Row],[Concatenato]],'Original data'!D:D,'Original data'!E:E)</f>
        <v>54</v>
      </c>
      <c r="L386" t="s">
        <v>615</v>
      </c>
    </row>
    <row r="387" spans="2:12" x14ac:dyDescent="0.3">
      <c r="B387" s="5" t="s">
        <v>593</v>
      </c>
      <c r="C387" t="s">
        <v>248</v>
      </c>
      <c r="D387" t="s">
        <v>589</v>
      </c>
      <c r="E387" t="str">
        <f>IF(Tabella1[[#This Row],[Data type]]= "GEOMORPHOLOGICAL DATA", "G", "N")</f>
        <v>N</v>
      </c>
      <c r="G387" t="s">
        <v>226</v>
      </c>
      <c r="J387" t="str">
        <f t="shared" si="6"/>
        <v>altri_datiWIZ_U32WG_VS_SIT_GEO_250Kghiaie, blocchi e limi ferrettizzati</v>
      </c>
      <c r="K387">
        <f>_xlfn.XLOOKUP(Tabella1[[#This Row],[Concatenato]],'Original data'!D:D,'Original data'!E:E)</f>
        <v>52</v>
      </c>
      <c r="L387" t="s">
        <v>630</v>
      </c>
    </row>
    <row r="388" spans="2:12" x14ac:dyDescent="0.3">
      <c r="B388" s="3" t="s">
        <v>594</v>
      </c>
      <c r="C388" t="s">
        <v>333</v>
      </c>
      <c r="D388" t="s">
        <v>586</v>
      </c>
      <c r="E388" t="str">
        <f>IF(Tabella1[[#This Row],[Data type]]= "GEOMORPHOLOGICAL DATA", "G", "N")</f>
        <v>G</v>
      </c>
      <c r="F388" t="s">
        <v>636</v>
      </c>
      <c r="G388" s="2" t="s">
        <v>496</v>
      </c>
      <c r="H388" s="2"/>
      <c r="J388" t="str">
        <f t="shared" si="6"/>
        <v>dissesti_IFFIfr_po0 (non determinato)</v>
      </c>
      <c r="K388">
        <f>_xlfn.XLOOKUP(Tabella1[[#This Row],[Concatenato]],'Original data'!D:D,'Original data'!E:E)</f>
        <v>53</v>
      </c>
      <c r="L388" t="s">
        <v>615</v>
      </c>
    </row>
    <row r="389" spans="2:12" x14ac:dyDescent="0.3">
      <c r="B389" s="5" t="s">
        <v>593</v>
      </c>
      <c r="C389" t="s">
        <v>248</v>
      </c>
      <c r="D389" t="s">
        <v>589</v>
      </c>
      <c r="E389" t="str">
        <f>IF(Tabella1[[#This Row],[Data type]]= "GEOMORPHOLOGICAL DATA", "G", "N")</f>
        <v>N</v>
      </c>
      <c r="G389" t="s">
        <v>207</v>
      </c>
      <c r="J389" t="str">
        <f t="shared" si="6"/>
        <v>altri_datiWIZ_U32WG_VS_SIT_GEO_250Kargilliti, marne, calcari, carniole</v>
      </c>
      <c r="K389">
        <f>_xlfn.XLOOKUP(Tabella1[[#This Row],[Concatenato]],'Original data'!D:D,'Original data'!E:E)</f>
        <v>51</v>
      </c>
      <c r="L389" t="s">
        <v>630</v>
      </c>
    </row>
    <row r="390" spans="2:12" x14ac:dyDescent="0.3">
      <c r="B390" s="5" t="s">
        <v>593</v>
      </c>
      <c r="C390" t="s">
        <v>248</v>
      </c>
      <c r="D390" t="s">
        <v>589</v>
      </c>
      <c r="E390" t="str">
        <f>IF(Tabella1[[#This Row],[Data type]]= "GEOMORPHOLOGICAL DATA", "G", "N")</f>
        <v>N</v>
      </c>
      <c r="G390" t="s">
        <v>200</v>
      </c>
      <c r="J390" t="str">
        <f t="shared" si="6"/>
        <v>altri_datiWIZ_U32WG_VS_SIT_GEO_250Kcarniole</v>
      </c>
      <c r="K390">
        <f>_xlfn.XLOOKUP(Tabella1[[#This Row],[Concatenato]],'Original data'!D:D,'Original data'!E:E)</f>
        <v>51</v>
      </c>
      <c r="L390" t="s">
        <v>630</v>
      </c>
    </row>
    <row r="391" spans="2:12" x14ac:dyDescent="0.3">
      <c r="B391" s="5" t="s">
        <v>593</v>
      </c>
      <c r="C391" t="s">
        <v>248</v>
      </c>
      <c r="D391" t="s">
        <v>589</v>
      </c>
      <c r="E391" t="str">
        <f>IF(Tabella1[[#This Row],[Data type]]= "GEOMORPHOLOGICAL DATA", "G", "N")</f>
        <v>N</v>
      </c>
      <c r="G391" t="s">
        <v>224</v>
      </c>
      <c r="J391" t="str">
        <f t="shared" si="6"/>
        <v>altri_datiWIZ_U32WG_VS_SIT_GEO_250Kmarne, calcari marn. calcari selcif. arenarie tufi basal.</v>
      </c>
      <c r="K391">
        <f>_xlfn.XLOOKUP(Tabella1[[#This Row],[Concatenato]],'Original data'!D:D,'Original data'!E:E)</f>
        <v>51</v>
      </c>
      <c r="L391" t="s">
        <v>630</v>
      </c>
    </row>
    <row r="392" spans="2:12" x14ac:dyDescent="0.3">
      <c r="B392" s="5" t="s">
        <v>593</v>
      </c>
      <c r="C392" t="s">
        <v>248</v>
      </c>
      <c r="D392" t="s">
        <v>589</v>
      </c>
      <c r="E392" t="str">
        <f>IF(Tabella1[[#This Row],[Data type]]= "GEOMORPHOLOGICAL DATA", "G", "N")</f>
        <v>N</v>
      </c>
      <c r="G392" t="s">
        <v>161</v>
      </c>
      <c r="J392" t="str">
        <f t="shared" si="6"/>
        <v>altri_datiWIZ_U32WG_VS_SIT_GEO_250Kpegmatiti</v>
      </c>
      <c r="K392">
        <f>_xlfn.XLOOKUP(Tabella1[[#This Row],[Concatenato]],'Original data'!D:D,'Original data'!E:E)</f>
        <v>51</v>
      </c>
      <c r="L392" t="s">
        <v>630</v>
      </c>
    </row>
    <row r="393" spans="2:12" x14ac:dyDescent="0.3">
      <c r="B393" s="5" t="s">
        <v>593</v>
      </c>
      <c r="C393" t="s">
        <v>248</v>
      </c>
      <c r="D393" t="s">
        <v>589</v>
      </c>
      <c r="E393" t="str">
        <f>IF(Tabella1[[#This Row],[Data type]]= "GEOMORPHOLOGICAL DATA", "G", "N")</f>
        <v>N</v>
      </c>
      <c r="G393" t="s">
        <v>157</v>
      </c>
      <c r="J393" t="str">
        <f t="shared" si="6"/>
        <v>altri_datiWIZ_U32WG_VS_SIT_GEO_250Kfilladi e micascisti filladici</v>
      </c>
      <c r="K393">
        <f>_xlfn.XLOOKUP(Tabella1[[#This Row],[Concatenato]],'Original data'!D:D,'Original data'!E:E)</f>
        <v>50</v>
      </c>
      <c r="L393" t="s">
        <v>630</v>
      </c>
    </row>
    <row r="394" spans="2:12" x14ac:dyDescent="0.3">
      <c r="B394" t="s">
        <v>592</v>
      </c>
      <c r="C394" t="s">
        <v>443</v>
      </c>
      <c r="D394" t="s">
        <v>588</v>
      </c>
      <c r="E394" t="str">
        <f>IF(Tabella1[[#This Row],[Data type]]= "GEOMORPHOLOGICAL DATA", "G", "N")</f>
        <v>N</v>
      </c>
      <c r="G394" t="s">
        <v>434</v>
      </c>
      <c r="J394" t="str">
        <f t="shared" si="6"/>
        <v>Opere_Difesa_SuoloODS_TOT_puntistazione GPS</v>
      </c>
      <c r="K394">
        <f>_xlfn.XLOOKUP(Tabella1[[#This Row],[Concatenato]],'Original data'!D:D,'Original data'!E:E)</f>
        <v>50</v>
      </c>
      <c r="L394" t="s">
        <v>630</v>
      </c>
    </row>
    <row r="395" spans="2:12" x14ac:dyDescent="0.3">
      <c r="B395" t="s">
        <v>592</v>
      </c>
      <c r="C395" t="s">
        <v>443</v>
      </c>
      <c r="D395" t="s">
        <v>587</v>
      </c>
      <c r="E395" t="str">
        <f>IF(Tabella1[[#This Row],[Data type]]= "GEOMORPHOLOGICAL DATA", "G", "N")</f>
        <v>N</v>
      </c>
      <c r="G395" t="s">
        <v>362</v>
      </c>
      <c r="J395" t="str">
        <f t="shared" si="6"/>
        <v>Opere_Difesa_SuoloODS_TOT_puntiinerbimento</v>
      </c>
      <c r="K395">
        <f>_xlfn.XLOOKUP(Tabella1[[#This Row],[Concatenato]],'Original data'!D:D,'Original data'!E:E)</f>
        <v>49</v>
      </c>
      <c r="L395" t="s">
        <v>630</v>
      </c>
    </row>
    <row r="396" spans="2:12" x14ac:dyDescent="0.3">
      <c r="B396" t="s">
        <v>592</v>
      </c>
      <c r="C396" t="s">
        <v>446</v>
      </c>
      <c r="D396" t="s">
        <v>586</v>
      </c>
      <c r="E396" t="str">
        <f>IF(Tabella1[[#This Row],[Data type]]= "GEOMORPHOLOGICAL DATA", "G", "N")</f>
        <v>G</v>
      </c>
      <c r="F396" t="s">
        <v>634</v>
      </c>
      <c r="G396" t="s">
        <v>445</v>
      </c>
      <c r="J396" t="str">
        <f t="shared" si="6"/>
        <v>Opere_Difesa_SuoloOPERE_FIUMI_PLtraversa</v>
      </c>
      <c r="K396">
        <f>_xlfn.XLOOKUP(Tabella1[[#This Row],[Concatenato]],'Original data'!D:D,'Original data'!E:E)</f>
        <v>52</v>
      </c>
      <c r="L396" t="s">
        <v>615</v>
      </c>
    </row>
    <row r="397" spans="2:12" x14ac:dyDescent="0.3">
      <c r="B397" t="s">
        <v>592</v>
      </c>
      <c r="C397" t="s">
        <v>425</v>
      </c>
      <c r="D397" t="s">
        <v>586</v>
      </c>
      <c r="E397" t="str">
        <f>IF(Tabella1[[#This Row],[Data type]]= "GEOMORPHOLOGICAL DATA", "G", "N")</f>
        <v>G</v>
      </c>
      <c r="F397" t="s">
        <v>634</v>
      </c>
      <c r="G397" t="s">
        <v>368</v>
      </c>
      <c r="J397" t="str">
        <f t="shared" si="6"/>
        <v>Opere_Difesa_SuoloODS_TOT_areefascinata viva</v>
      </c>
      <c r="K397">
        <f>_xlfn.XLOOKUP(Tabella1[[#This Row],[Concatenato]],'Original data'!D:D,'Original data'!E:E)</f>
        <v>51</v>
      </c>
      <c r="L397" t="s">
        <v>615</v>
      </c>
    </row>
    <row r="398" spans="2:12" x14ac:dyDescent="0.3">
      <c r="B398" t="s">
        <v>592</v>
      </c>
      <c r="C398" t="s">
        <v>443</v>
      </c>
      <c r="D398" t="s">
        <v>586</v>
      </c>
      <c r="E398" t="str">
        <f>IF(Tabella1[[#This Row],[Data type]]= "GEOMORPHOLOGICAL DATA", "G", "N")</f>
        <v>G</v>
      </c>
      <c r="F398" t="s">
        <v>634</v>
      </c>
      <c r="G398" t="s">
        <v>409</v>
      </c>
      <c r="J398" t="str">
        <f t="shared" si="6"/>
        <v>Opere_Difesa_SuoloODS_TOT_puntidrenaggio</v>
      </c>
      <c r="K398">
        <f>_xlfn.XLOOKUP(Tabella1[[#This Row],[Concatenato]],'Original data'!D:D,'Original data'!E:E)</f>
        <v>50</v>
      </c>
      <c r="L398" t="s">
        <v>615</v>
      </c>
    </row>
    <row r="399" spans="2:12" x14ac:dyDescent="0.3">
      <c r="B399" s="5" t="s">
        <v>8</v>
      </c>
      <c r="C399" t="s">
        <v>57</v>
      </c>
      <c r="D399" t="s">
        <v>589</v>
      </c>
      <c r="E399" t="str">
        <f>IF(Tabella1[[#This Row],[Data type]]= "GEOMORPHOLOGICAL DATA", "G", "N")</f>
        <v>N</v>
      </c>
      <c r="G399" t="s">
        <v>61</v>
      </c>
      <c r="J399" t="str">
        <f t="shared" si="6"/>
        <v>geoambientaliSL_GEO_WGSTravertino</v>
      </c>
      <c r="K399">
        <f>_xlfn.XLOOKUP(Tabella1[[#This Row],[Concatenato]],'Original data'!D:D,'Original data'!E:E)</f>
        <v>48</v>
      </c>
      <c r="L399" t="s">
        <v>630</v>
      </c>
    </row>
    <row r="400" spans="2:12" x14ac:dyDescent="0.3">
      <c r="B400" s="5" t="s">
        <v>593</v>
      </c>
      <c r="C400" t="s">
        <v>248</v>
      </c>
      <c r="D400" t="s">
        <v>589</v>
      </c>
      <c r="E400" t="str">
        <f>IF(Tabella1[[#This Row],[Data type]]= "GEOMORPHOLOGICAL DATA", "G", "N")</f>
        <v>N</v>
      </c>
      <c r="G400" t="s">
        <v>163</v>
      </c>
      <c r="J400" t="str">
        <f t="shared" si="6"/>
        <v>altri_datiWIZ_U32WG_VS_SIT_GEO_250Kmarmi dolomitici e calcarei, carniole</v>
      </c>
      <c r="K400">
        <f>_xlfn.XLOOKUP(Tabella1[[#This Row],[Concatenato]],'Original data'!D:D,'Original data'!E:E)</f>
        <v>47</v>
      </c>
      <c r="L400" t="s">
        <v>630</v>
      </c>
    </row>
    <row r="401" spans="2:12" x14ac:dyDescent="0.3">
      <c r="B401" s="5" t="s">
        <v>593</v>
      </c>
      <c r="C401" t="s">
        <v>248</v>
      </c>
      <c r="D401" t="s">
        <v>589</v>
      </c>
      <c r="E401" t="str">
        <f>IF(Tabella1[[#This Row],[Data type]]= "GEOMORPHOLOGICAL DATA", "G", "N")</f>
        <v>N</v>
      </c>
      <c r="G401" t="s">
        <v>195</v>
      </c>
      <c r="J401" t="str">
        <f t="shared" si="6"/>
        <v>altri_datiWIZ_U32WG_VS_SIT_GEO_250Kparagneiss</v>
      </c>
      <c r="K401">
        <f>_xlfn.XLOOKUP(Tabella1[[#This Row],[Concatenato]],'Original data'!D:D,'Original data'!E:E)</f>
        <v>47</v>
      </c>
      <c r="L401" t="s">
        <v>630</v>
      </c>
    </row>
    <row r="402" spans="2:12" x14ac:dyDescent="0.3">
      <c r="B402" s="5" t="s">
        <v>593</v>
      </c>
      <c r="C402" t="s">
        <v>248</v>
      </c>
      <c r="D402" t="s">
        <v>589</v>
      </c>
      <c r="E402" t="str">
        <f>IF(Tabella1[[#This Row],[Data type]]= "GEOMORPHOLOGICAL DATA", "G", "N")</f>
        <v>N</v>
      </c>
      <c r="G402" t="s">
        <v>196</v>
      </c>
      <c r="J402" t="str">
        <f t="shared" si="6"/>
        <v>altri_datiWIZ_U32WG_VS_SIT_GEO_250Kconglomerati</v>
      </c>
      <c r="K402">
        <f>_xlfn.XLOOKUP(Tabella1[[#This Row],[Concatenato]],'Original data'!D:D,'Original data'!E:E)</f>
        <v>46</v>
      </c>
      <c r="L402" t="s">
        <v>630</v>
      </c>
    </row>
    <row r="403" spans="2:12" x14ac:dyDescent="0.3">
      <c r="B403" t="s">
        <v>592</v>
      </c>
      <c r="C403" t="s">
        <v>425</v>
      </c>
      <c r="D403" t="s">
        <v>586</v>
      </c>
      <c r="E403" t="str">
        <f>IF(Tabella1[[#This Row],[Data type]]= "GEOMORPHOLOGICAL DATA", "G", "N")</f>
        <v>G</v>
      </c>
      <c r="F403" t="s">
        <v>634</v>
      </c>
      <c r="G403" t="s">
        <v>334</v>
      </c>
      <c r="J403" t="str">
        <f t="shared" si="6"/>
        <v>Opere_Difesa_SuoloODS_TOT_areegradonata viva</v>
      </c>
      <c r="K403">
        <f>_xlfn.XLOOKUP(Tabella1[[#This Row],[Concatenato]],'Original data'!D:D,'Original data'!E:E)</f>
        <v>47</v>
      </c>
      <c r="L403" t="s">
        <v>615</v>
      </c>
    </row>
    <row r="404" spans="2:12" x14ac:dyDescent="0.3">
      <c r="B404" t="s">
        <v>592</v>
      </c>
      <c r="C404" t="s">
        <v>425</v>
      </c>
      <c r="D404" t="s">
        <v>586</v>
      </c>
      <c r="E404" t="str">
        <f>IF(Tabella1[[#This Row],[Data type]]= "GEOMORPHOLOGICAL DATA", "G", "N")</f>
        <v>G</v>
      </c>
      <c r="F404" t="s">
        <v>634</v>
      </c>
      <c r="G404" t="s">
        <v>335</v>
      </c>
      <c r="J404" t="str">
        <f t="shared" si="6"/>
        <v>Opere_Difesa_SuoloODS_TOT_areepalificata viva</v>
      </c>
      <c r="K404">
        <f>_xlfn.XLOOKUP(Tabella1[[#This Row],[Concatenato]],'Original data'!D:D,'Original data'!E:E)</f>
        <v>47</v>
      </c>
      <c r="L404" t="s">
        <v>615</v>
      </c>
    </row>
    <row r="405" spans="2:12" x14ac:dyDescent="0.3">
      <c r="B405" t="s">
        <v>592</v>
      </c>
      <c r="C405" t="s">
        <v>425</v>
      </c>
      <c r="D405" t="s">
        <v>586</v>
      </c>
      <c r="E405" t="str">
        <f>IF(Tabella1[[#This Row],[Data type]]= "GEOMORPHOLOGICAL DATA", "G", "N")</f>
        <v>G</v>
      </c>
      <c r="F405" t="s">
        <v>634</v>
      </c>
      <c r="G405" t="s">
        <v>375</v>
      </c>
      <c r="J405" t="str">
        <f t="shared" si="6"/>
        <v>Opere_Difesa_SuoloODS_TOT_areerete paramassi</v>
      </c>
      <c r="K405">
        <f>_xlfn.XLOOKUP(Tabella1[[#This Row],[Concatenato]],'Original data'!D:D,'Original data'!E:E)</f>
        <v>47</v>
      </c>
      <c r="L405" t="s">
        <v>615</v>
      </c>
    </row>
    <row r="406" spans="2:12" x14ac:dyDescent="0.3">
      <c r="B406" t="s">
        <v>592</v>
      </c>
      <c r="C406" t="s">
        <v>443</v>
      </c>
      <c r="D406" t="s">
        <v>586</v>
      </c>
      <c r="E406" t="str">
        <f>IF(Tabella1[[#This Row],[Data type]]= "GEOMORPHOLOGICAL DATA", "G", "N")</f>
        <v>G</v>
      </c>
      <c r="F406" t="s">
        <v>634</v>
      </c>
      <c r="G406" t="s">
        <v>402</v>
      </c>
      <c r="J406" t="str">
        <f t="shared" si="6"/>
        <v>Opere_Difesa_SuoloODS_TOT_puntidrenaggio sub-orizzontale</v>
      </c>
      <c r="K406">
        <f>_xlfn.XLOOKUP(Tabella1[[#This Row],[Concatenato]],'Original data'!D:D,'Original data'!E:E)</f>
        <v>46</v>
      </c>
      <c r="L406" t="s">
        <v>615</v>
      </c>
    </row>
    <row r="407" spans="2:12" x14ac:dyDescent="0.3">
      <c r="B407" t="s">
        <v>592</v>
      </c>
      <c r="C407" t="s">
        <v>425</v>
      </c>
      <c r="D407" t="s">
        <v>587</v>
      </c>
      <c r="E407" t="str">
        <f>IF(Tabella1[[#This Row],[Data type]]= "GEOMORPHOLOGICAL DATA", "G", "N")</f>
        <v>N</v>
      </c>
      <c r="G407" s="7" t="s">
        <v>377</v>
      </c>
      <c r="J407" t="str">
        <f t="shared" si="6"/>
        <v>Opere_Difesa_SuoloODS_TOT_areepiantumazione</v>
      </c>
      <c r="K407">
        <f>_xlfn.XLOOKUP(Tabella1[[#This Row],[Concatenato]],'Original data'!D:D,'Original data'!E:E)</f>
        <v>44</v>
      </c>
      <c r="L407" t="s">
        <v>630</v>
      </c>
    </row>
    <row r="408" spans="2:12" x14ac:dyDescent="0.3">
      <c r="B408" t="s">
        <v>592</v>
      </c>
      <c r="C408" t="s">
        <v>443</v>
      </c>
      <c r="D408" t="s">
        <v>586</v>
      </c>
      <c r="E408" t="str">
        <f>IF(Tabella1[[#This Row],[Data type]]= "GEOMORPHOLOGICAL DATA", "G", "N")</f>
        <v>G</v>
      </c>
      <c r="F408" t="s">
        <v>634</v>
      </c>
      <c r="G408" t="s">
        <v>392</v>
      </c>
      <c r="J408" t="str">
        <f t="shared" si="6"/>
        <v>Opere_Difesa_SuoloODS_TOT_puntitrincea drenante</v>
      </c>
      <c r="K408">
        <f>_xlfn.XLOOKUP(Tabella1[[#This Row],[Concatenato]],'Original data'!D:D,'Original data'!E:E)</f>
        <v>45</v>
      </c>
      <c r="L408" t="s">
        <v>615</v>
      </c>
    </row>
    <row r="409" spans="2:12" x14ac:dyDescent="0.3">
      <c r="B409" t="s">
        <v>592</v>
      </c>
      <c r="C409" t="s">
        <v>425</v>
      </c>
      <c r="D409" t="s">
        <v>588</v>
      </c>
      <c r="E409" t="str">
        <f>IF(Tabella1[[#This Row],[Data type]]= "GEOMORPHOLOGICAL DATA", "G", "N")</f>
        <v>N</v>
      </c>
      <c r="G409" t="s">
        <v>344</v>
      </c>
      <c r="J409" t="str">
        <f t="shared" si="6"/>
        <v>Opere_Difesa_SuoloODS_TOT_areesoglia</v>
      </c>
      <c r="K409">
        <f>_xlfn.XLOOKUP(Tabella1[[#This Row],[Concatenato]],'Original data'!D:D,'Original data'!E:E)</f>
        <v>44</v>
      </c>
      <c r="L409" t="s">
        <v>630</v>
      </c>
    </row>
    <row r="410" spans="2:12" x14ac:dyDescent="0.3">
      <c r="B410" s="5" t="s">
        <v>593</v>
      </c>
      <c r="C410" t="s">
        <v>248</v>
      </c>
      <c r="D410" t="s">
        <v>589</v>
      </c>
      <c r="E410" t="str">
        <f>IF(Tabella1[[#This Row],[Data type]]= "GEOMORPHOLOGICAL DATA", "G", "N")</f>
        <v>N</v>
      </c>
      <c r="G410" t="s">
        <v>221</v>
      </c>
      <c r="J410" t="str">
        <f t="shared" si="6"/>
        <v>altri_datiWIZ_U32WG_VS_SIT_GEO_250Kconglomerati, arenarie, marne</v>
      </c>
      <c r="K410">
        <f>_xlfn.XLOOKUP(Tabella1[[#This Row],[Concatenato]],'Original data'!D:D,'Original data'!E:E)</f>
        <v>43</v>
      </c>
      <c r="L410" t="s">
        <v>630</v>
      </c>
    </row>
    <row r="411" spans="2:12" x14ac:dyDescent="0.3">
      <c r="B411" t="s">
        <v>592</v>
      </c>
      <c r="C411" t="s">
        <v>443</v>
      </c>
      <c r="D411" t="s">
        <v>586</v>
      </c>
      <c r="E411" t="str">
        <f>IF(Tabella1[[#This Row],[Data type]]= "GEOMORPHOLOGICAL DATA", "G", "N")</f>
        <v>G</v>
      </c>
      <c r="F411" t="s">
        <v>634</v>
      </c>
      <c r="G411" t="s">
        <v>370</v>
      </c>
      <c r="J411" t="str">
        <f t="shared" si="6"/>
        <v>Opere_Difesa_SuoloODS_TOT_puntidrenaggio profondo</v>
      </c>
      <c r="K411">
        <f>_xlfn.XLOOKUP(Tabella1[[#This Row],[Concatenato]],'Original data'!D:D,'Original data'!E:E)</f>
        <v>44</v>
      </c>
      <c r="L411" t="s">
        <v>615</v>
      </c>
    </row>
    <row r="412" spans="2:12" x14ac:dyDescent="0.3">
      <c r="B412" t="s">
        <v>592</v>
      </c>
      <c r="C412" t="s">
        <v>425</v>
      </c>
      <c r="D412" t="s">
        <v>586</v>
      </c>
      <c r="E412" t="str">
        <f>IF(Tabella1[[#This Row],[Data type]]= "GEOMORPHOLOGICAL DATA", "G", "N")</f>
        <v>G</v>
      </c>
      <c r="F412" t="s">
        <v>634</v>
      </c>
      <c r="G412" t="s">
        <v>402</v>
      </c>
      <c r="J412" t="str">
        <f t="shared" si="6"/>
        <v>Opere_Difesa_SuoloODS_TOT_areedrenaggio sub-orizzontale</v>
      </c>
      <c r="K412">
        <f>_xlfn.XLOOKUP(Tabella1[[#This Row],[Concatenato]],'Original data'!D:D,'Original data'!E:E)</f>
        <v>44</v>
      </c>
      <c r="L412" t="s">
        <v>615</v>
      </c>
    </row>
    <row r="413" spans="2:12" x14ac:dyDescent="0.3">
      <c r="B413" t="s">
        <v>592</v>
      </c>
      <c r="C413" t="s">
        <v>426</v>
      </c>
      <c r="D413" t="s">
        <v>586</v>
      </c>
      <c r="E413" t="str">
        <f>IF(Tabella1[[#This Row],[Data type]]= "GEOMORPHOLOGICAL DATA", "G", "N")</f>
        <v>G</v>
      </c>
      <c r="F413" t="s">
        <v>634</v>
      </c>
      <c r="G413" t="s">
        <v>375</v>
      </c>
      <c r="J413" t="str">
        <f t="shared" si="6"/>
        <v>Opere_Difesa_SuoloODS_TOT_lineerete paramassi</v>
      </c>
      <c r="K413">
        <f>_xlfn.XLOOKUP(Tabella1[[#This Row],[Concatenato]],'Original data'!D:D,'Original data'!E:E)</f>
        <v>44</v>
      </c>
      <c r="L413" t="s">
        <v>615</v>
      </c>
    </row>
    <row r="414" spans="2:12" x14ac:dyDescent="0.3">
      <c r="B414" t="s">
        <v>592</v>
      </c>
      <c r="C414" t="s">
        <v>443</v>
      </c>
      <c r="D414" t="s">
        <v>586</v>
      </c>
      <c r="E414" t="str">
        <f>IF(Tabella1[[#This Row],[Data type]]= "GEOMORPHOLOGICAL DATA", "G", "N")</f>
        <v>G</v>
      </c>
      <c r="F414" t="s">
        <v>634</v>
      </c>
      <c r="G414" t="s">
        <v>413</v>
      </c>
      <c r="J414" t="str">
        <f t="shared" si="6"/>
        <v>Opere_Difesa_SuoloODS_TOT_puntimuro in cemento armato</v>
      </c>
      <c r="K414">
        <f>_xlfn.XLOOKUP(Tabella1[[#This Row],[Concatenato]],'Original data'!D:D,'Original data'!E:E)</f>
        <v>42</v>
      </c>
      <c r="L414" t="s">
        <v>615</v>
      </c>
    </row>
    <row r="415" spans="2:12" x14ac:dyDescent="0.3">
      <c r="B415" s="5" t="s">
        <v>593</v>
      </c>
      <c r="C415" t="s">
        <v>248</v>
      </c>
      <c r="D415" t="s">
        <v>589</v>
      </c>
      <c r="E415" t="str">
        <f>IF(Tabella1[[#This Row],[Data type]]= "GEOMORPHOLOGICAL DATA", "G", "N")</f>
        <v>N</v>
      </c>
      <c r="G415" t="s">
        <v>178</v>
      </c>
      <c r="J415" t="str">
        <f t="shared" si="6"/>
        <v>altri_datiWIZ_U32WG_VS_SIT_GEO_250Kfilladi e micascisti filladici ''filladi quarzifere'' Auct.</v>
      </c>
      <c r="K415">
        <f>_xlfn.XLOOKUP(Tabella1[[#This Row],[Concatenato]],'Original data'!D:D,'Original data'!E:E)</f>
        <v>40</v>
      </c>
      <c r="L415" t="s">
        <v>630</v>
      </c>
    </row>
    <row r="416" spans="2:12" x14ac:dyDescent="0.3">
      <c r="B416" s="5" t="s">
        <v>593</v>
      </c>
      <c r="C416" t="s">
        <v>248</v>
      </c>
      <c r="D416" t="s">
        <v>589</v>
      </c>
      <c r="E416" t="str">
        <f>IF(Tabella1[[#This Row],[Data type]]= "GEOMORPHOLOGICAL DATA", "G", "N")</f>
        <v>N</v>
      </c>
      <c r="G416" t="s">
        <v>227</v>
      </c>
      <c r="J416" t="str">
        <f t="shared" si="6"/>
        <v>altri_datiWIZ_U32WG_VS_SIT_GEO_250Kghiaie, limi e rari blocchi fortemente ferrettizati</v>
      </c>
      <c r="K416">
        <f>_xlfn.XLOOKUP(Tabella1[[#This Row],[Concatenato]],'Original data'!D:D,'Original data'!E:E)</f>
        <v>40</v>
      </c>
      <c r="L416" t="s">
        <v>630</v>
      </c>
    </row>
    <row r="417" spans="2:12" x14ac:dyDescent="0.3">
      <c r="B417" s="5" t="s">
        <v>593</v>
      </c>
      <c r="C417" t="s">
        <v>248</v>
      </c>
      <c r="D417" t="s">
        <v>589</v>
      </c>
      <c r="E417" t="str">
        <f>IF(Tabella1[[#This Row],[Data type]]= "GEOMORPHOLOGICAL DATA", "G", "N")</f>
        <v>N</v>
      </c>
      <c r="G417" t="s">
        <v>206</v>
      </c>
      <c r="J417" t="str">
        <f t="shared" si="6"/>
        <v>altri_datiWIZ_U32WG_VS_SIT_GEO_250Kargille e limi</v>
      </c>
      <c r="K417">
        <f>_xlfn.XLOOKUP(Tabella1[[#This Row],[Concatenato]],'Original data'!D:D,'Original data'!E:E)</f>
        <v>38</v>
      </c>
      <c r="L417" t="s">
        <v>630</v>
      </c>
    </row>
    <row r="418" spans="2:12" x14ac:dyDescent="0.3">
      <c r="B418" t="s">
        <v>592</v>
      </c>
      <c r="C418" t="s">
        <v>425</v>
      </c>
      <c r="D418" t="s">
        <v>588</v>
      </c>
      <c r="E418" t="str">
        <f>IF(Tabella1[[#This Row],[Data type]]= "GEOMORPHOLOGICAL DATA", "G", "N")</f>
        <v>N</v>
      </c>
      <c r="G418" t="s">
        <v>353</v>
      </c>
      <c r="J418" t="str">
        <f t="shared" si="6"/>
        <v>Opere_Difesa_SuoloODS_TOT_areeancoraggio-tiranti</v>
      </c>
      <c r="K418">
        <f>_xlfn.XLOOKUP(Tabella1[[#This Row],[Concatenato]],'Original data'!D:D,'Original data'!E:E)</f>
        <v>37</v>
      </c>
      <c r="L418" t="s">
        <v>630</v>
      </c>
    </row>
    <row r="419" spans="2:12" x14ac:dyDescent="0.3">
      <c r="B419" s="5" t="s">
        <v>593</v>
      </c>
      <c r="C419" t="s">
        <v>248</v>
      </c>
      <c r="D419" t="s">
        <v>589</v>
      </c>
      <c r="E419" t="str">
        <f>IF(Tabella1[[#This Row],[Data type]]= "GEOMORPHOLOGICAL DATA", "G", "N")</f>
        <v>N</v>
      </c>
      <c r="G419" t="s">
        <v>220</v>
      </c>
      <c r="J419" t="str">
        <f t="shared" si="6"/>
        <v>altri_datiWIZ_U32WG_VS_SIT_GEO_250Kcalcari, dolomie</v>
      </c>
      <c r="K419">
        <f>_xlfn.XLOOKUP(Tabella1[[#This Row],[Concatenato]],'Original data'!D:D,'Original data'!E:E)</f>
        <v>37</v>
      </c>
      <c r="L419" t="s">
        <v>630</v>
      </c>
    </row>
    <row r="420" spans="2:12" x14ac:dyDescent="0.3">
      <c r="B420" s="5" t="s">
        <v>593</v>
      </c>
      <c r="C420" t="s">
        <v>248</v>
      </c>
      <c r="D420" t="s">
        <v>589</v>
      </c>
      <c r="E420" t="str">
        <f>IF(Tabella1[[#This Row],[Data type]]= "GEOMORPHOLOGICAL DATA", "G", "N")</f>
        <v>N</v>
      </c>
      <c r="G420" t="s">
        <v>203</v>
      </c>
      <c r="J420" t="str">
        <f t="shared" si="6"/>
        <v>altri_datiWIZ_U32WG_VS_SIT_GEO_250Kcalcari e calcari dolomitici</v>
      </c>
      <c r="K420">
        <f>_xlfn.XLOOKUP(Tabella1[[#This Row],[Concatenato]],'Original data'!D:D,'Original data'!E:E)</f>
        <v>36</v>
      </c>
      <c r="L420" t="s">
        <v>630</v>
      </c>
    </row>
    <row r="421" spans="2:12" x14ac:dyDescent="0.3">
      <c r="B421" s="5" t="s">
        <v>593</v>
      </c>
      <c r="C421" t="s">
        <v>248</v>
      </c>
      <c r="D421" t="s">
        <v>589</v>
      </c>
      <c r="E421" t="str">
        <f>IF(Tabella1[[#This Row],[Data type]]= "GEOMORPHOLOGICAL DATA", "G", "N")</f>
        <v>N</v>
      </c>
      <c r="G421" t="s">
        <v>211</v>
      </c>
      <c r="J421" t="str">
        <f t="shared" si="6"/>
        <v>altri_datiWIZ_U32WG_VS_SIT_GEO_250Kcalcari, marne, arenarie, argilliti</v>
      </c>
      <c r="K421">
        <f>_xlfn.XLOOKUP(Tabella1[[#This Row],[Concatenato]],'Original data'!D:D,'Original data'!E:E)</f>
        <v>36</v>
      </c>
      <c r="L421" t="s">
        <v>630</v>
      </c>
    </row>
    <row r="422" spans="2:12" x14ac:dyDescent="0.3">
      <c r="B422" t="s">
        <v>592</v>
      </c>
      <c r="C422" t="s">
        <v>425</v>
      </c>
      <c r="D422" t="s">
        <v>586</v>
      </c>
      <c r="E422" t="str">
        <f>IF(Tabella1[[#This Row],[Data type]]= "GEOMORPHOLOGICAL DATA", "G", "N")</f>
        <v>G</v>
      </c>
      <c r="F422" t="s">
        <v>634</v>
      </c>
      <c r="G422" t="s">
        <v>359</v>
      </c>
      <c r="J422" t="str">
        <f t="shared" si="6"/>
        <v>Opere_Difesa_SuoloODS_TOT_areeponte da neve</v>
      </c>
      <c r="K422">
        <f>_xlfn.XLOOKUP(Tabella1[[#This Row],[Concatenato]],'Original data'!D:D,'Original data'!E:E)</f>
        <v>42</v>
      </c>
      <c r="L422" t="s">
        <v>615</v>
      </c>
    </row>
    <row r="423" spans="2:12" x14ac:dyDescent="0.3">
      <c r="B423" s="5" t="s">
        <v>595</v>
      </c>
      <c r="C423" t="s">
        <v>262</v>
      </c>
      <c r="D423" t="s">
        <v>587</v>
      </c>
      <c r="E423" t="str">
        <f>IF(Tabella1[[#This Row],[Data type]]= "GEOMORPHOLOGICAL DATA", "G", "N")</f>
        <v>N</v>
      </c>
      <c r="G423" t="s">
        <v>326</v>
      </c>
      <c r="J423" t="str">
        <f t="shared" si="6"/>
        <v>DUSAFWIZ_U32WG_VS_DUSAF4marcite</v>
      </c>
      <c r="K423">
        <f>_xlfn.XLOOKUP(Tabella1[[#This Row],[Concatenato]],'Original data'!D:D,'Original data'!E:E)</f>
        <v>36</v>
      </c>
      <c r="L423" t="s">
        <v>630</v>
      </c>
    </row>
    <row r="424" spans="2:12" x14ac:dyDescent="0.3">
      <c r="B424" s="5" t="s">
        <v>595</v>
      </c>
      <c r="C424" t="s">
        <v>262</v>
      </c>
      <c r="D424" t="s">
        <v>587</v>
      </c>
      <c r="E424" t="str">
        <f>IF(Tabella1[[#This Row],[Data type]]= "GEOMORPHOLOGICAL DATA", "G", "N")</f>
        <v>N</v>
      </c>
      <c r="G424" t="s">
        <v>297</v>
      </c>
      <c r="J424" t="str">
        <f t="shared" si="6"/>
        <v>DUSAFWIZ_U32WG_VS_DUSAF4Aeroporti ed eliporti</v>
      </c>
      <c r="K424">
        <f>_xlfn.XLOOKUP(Tabella1[[#This Row],[Concatenato]],'Original data'!D:D,'Original data'!E:E)</f>
        <v>35</v>
      </c>
      <c r="L424" t="s">
        <v>630</v>
      </c>
    </row>
    <row r="425" spans="2:12" x14ac:dyDescent="0.3">
      <c r="B425" t="s">
        <v>592</v>
      </c>
      <c r="C425" t="s">
        <v>426</v>
      </c>
      <c r="D425" t="s">
        <v>586</v>
      </c>
      <c r="E425" t="str">
        <f>IF(Tabella1[[#This Row],[Data type]]= "GEOMORPHOLOGICAL DATA", "G", "N")</f>
        <v>G</v>
      </c>
      <c r="F425" t="s">
        <v>634</v>
      </c>
      <c r="G425" t="s">
        <v>415</v>
      </c>
      <c r="J425" t="str">
        <f t="shared" si="6"/>
        <v>Opere_Difesa_SuoloODS_TOT_lineeopera di presa/restituzione</v>
      </c>
      <c r="K425">
        <f>_xlfn.XLOOKUP(Tabella1[[#This Row],[Concatenato]],'Original data'!D:D,'Original data'!E:E)</f>
        <v>36</v>
      </c>
      <c r="L425" t="s">
        <v>615</v>
      </c>
    </row>
    <row r="426" spans="2:12" x14ac:dyDescent="0.3">
      <c r="B426" t="s">
        <v>592</v>
      </c>
      <c r="C426" t="s">
        <v>426</v>
      </c>
      <c r="D426" t="s">
        <v>586</v>
      </c>
      <c r="E426" t="str">
        <f>IF(Tabella1[[#This Row],[Data type]]= "GEOMORPHOLOGICAL DATA", "G", "N")</f>
        <v>G</v>
      </c>
      <c r="F426" t="s">
        <v>634</v>
      </c>
      <c r="G426" t="s">
        <v>442</v>
      </c>
      <c r="J426" t="str">
        <f t="shared" si="6"/>
        <v>Opere_Difesa_SuoloODS_TOT_lineeparatia di sostegno</v>
      </c>
      <c r="K426">
        <f>_xlfn.XLOOKUP(Tabella1[[#This Row],[Concatenato]],'Original data'!D:D,'Original data'!E:E)</f>
        <v>36</v>
      </c>
      <c r="L426" t="s">
        <v>615</v>
      </c>
    </row>
    <row r="427" spans="2:12" x14ac:dyDescent="0.3">
      <c r="B427" t="s">
        <v>592</v>
      </c>
      <c r="C427" t="s">
        <v>426</v>
      </c>
      <c r="D427" t="s">
        <v>588</v>
      </c>
      <c r="E427" t="str">
        <f>IF(Tabella1[[#This Row],[Data type]]= "GEOMORPHOLOGICAL DATA", "G", "N")</f>
        <v>N</v>
      </c>
      <c r="G427" t="s">
        <v>353</v>
      </c>
      <c r="J427" t="str">
        <f t="shared" si="6"/>
        <v>Opere_Difesa_SuoloODS_TOT_lineeancoraggio-tiranti</v>
      </c>
      <c r="K427">
        <f>_xlfn.XLOOKUP(Tabella1[[#This Row],[Concatenato]],'Original data'!D:D,'Original data'!E:E)</f>
        <v>34</v>
      </c>
      <c r="L427" t="s">
        <v>630</v>
      </c>
    </row>
    <row r="428" spans="2:12" x14ac:dyDescent="0.3">
      <c r="B428" t="s">
        <v>592</v>
      </c>
      <c r="C428" t="s">
        <v>426</v>
      </c>
      <c r="D428" t="s">
        <v>586</v>
      </c>
      <c r="E428" t="str">
        <f>IF(Tabella1[[#This Row],[Data type]]= "GEOMORPHOLOGICAL DATA", "G", "N")</f>
        <v>G</v>
      </c>
      <c r="F428" t="s">
        <v>634</v>
      </c>
      <c r="G428" t="s">
        <v>351</v>
      </c>
      <c r="J428" t="str">
        <f t="shared" si="6"/>
        <v>Opere_Difesa_SuoloODS_TOT_lineerilevato paramassi</v>
      </c>
      <c r="K428">
        <f>_xlfn.XLOOKUP(Tabella1[[#This Row],[Concatenato]],'Original data'!D:D,'Original data'!E:E)</f>
        <v>36</v>
      </c>
      <c r="L428" t="s">
        <v>615</v>
      </c>
    </row>
    <row r="429" spans="2:12" x14ac:dyDescent="0.3">
      <c r="B429" t="s">
        <v>592</v>
      </c>
      <c r="C429" t="s">
        <v>443</v>
      </c>
      <c r="D429" t="s">
        <v>586</v>
      </c>
      <c r="E429" t="str">
        <f>IF(Tabella1[[#This Row],[Data type]]= "GEOMORPHOLOGICAL DATA", "G", "N")</f>
        <v>G</v>
      </c>
      <c r="F429" t="s">
        <v>634</v>
      </c>
      <c r="G429" t="s">
        <v>421</v>
      </c>
      <c r="J429" t="str">
        <f t="shared" si="6"/>
        <v>Opere_Difesa_SuoloODS_TOT_puntimuro a secco</v>
      </c>
      <c r="K429">
        <f>_xlfn.XLOOKUP(Tabella1[[#This Row],[Concatenato]],'Original data'!D:D,'Original data'!E:E)</f>
        <v>35</v>
      </c>
      <c r="L429" t="s">
        <v>615</v>
      </c>
    </row>
    <row r="430" spans="2:12" x14ac:dyDescent="0.3">
      <c r="B430" t="s">
        <v>592</v>
      </c>
      <c r="C430" t="s">
        <v>443</v>
      </c>
      <c r="D430" t="s">
        <v>586</v>
      </c>
      <c r="E430" t="str">
        <f>IF(Tabella1[[#This Row],[Data type]]= "GEOMORPHOLOGICAL DATA", "G", "N")</f>
        <v>G</v>
      </c>
      <c r="F430" t="s">
        <v>634</v>
      </c>
      <c r="G430" t="s">
        <v>415</v>
      </c>
      <c r="J430" t="str">
        <f t="shared" si="6"/>
        <v>Opere_Difesa_SuoloODS_TOT_puntiopera di presa/restituzione</v>
      </c>
      <c r="K430">
        <f>_xlfn.XLOOKUP(Tabella1[[#This Row],[Concatenato]],'Original data'!D:D,'Original data'!E:E)</f>
        <v>35</v>
      </c>
      <c r="L430" t="s">
        <v>615</v>
      </c>
    </row>
    <row r="431" spans="2:12" x14ac:dyDescent="0.3">
      <c r="B431" t="s">
        <v>592</v>
      </c>
      <c r="C431" t="s">
        <v>426</v>
      </c>
      <c r="D431" t="s">
        <v>586</v>
      </c>
      <c r="E431" t="str">
        <f>IF(Tabella1[[#This Row],[Data type]]= "GEOMORPHOLOGICAL DATA", "G", "N")</f>
        <v>G</v>
      </c>
      <c r="F431" t="s">
        <v>634</v>
      </c>
      <c r="G431" t="s">
        <v>347</v>
      </c>
      <c r="J431" t="str">
        <f t="shared" si="6"/>
        <v>Opere_Difesa_SuoloODS_TOT_lineemuro di terrazzamento</v>
      </c>
      <c r="K431">
        <f>_xlfn.XLOOKUP(Tabella1[[#This Row],[Concatenato]],'Original data'!D:D,'Original data'!E:E)</f>
        <v>34</v>
      </c>
      <c r="L431" t="s">
        <v>615</v>
      </c>
    </row>
    <row r="432" spans="2:12" x14ac:dyDescent="0.3">
      <c r="B432" s="5" t="s">
        <v>591</v>
      </c>
      <c r="C432" t="s">
        <v>137</v>
      </c>
      <c r="D432" t="s">
        <v>588</v>
      </c>
      <c r="E432" t="str">
        <f>IF(Tabella1[[#This Row],[Data type]]= "GEOMORPHOLOGICAL DATA", "G", "N")</f>
        <v>N</v>
      </c>
      <c r="G432" t="s">
        <v>133</v>
      </c>
      <c r="J432" t="str">
        <f t="shared" si="6"/>
        <v>basi_ambientali_pianuraWIZ_U32WG_VS_SIT_BASI_SOTTOAMBAlta pianura</v>
      </c>
      <c r="K432">
        <f>_xlfn.XLOOKUP(Tabella1[[#This Row],[Concatenato]],'Original data'!D:D,'Original data'!E:E)</f>
        <v>33</v>
      </c>
      <c r="L432" t="s">
        <v>630</v>
      </c>
    </row>
    <row r="433" spans="2:12" x14ac:dyDescent="0.3">
      <c r="B433" s="5" t="s">
        <v>595</v>
      </c>
      <c r="C433" t="s">
        <v>262</v>
      </c>
      <c r="D433" t="s">
        <v>587</v>
      </c>
      <c r="E433" t="str">
        <f>IF(Tabella1[[#This Row],[Data type]]= "GEOMORPHOLOGICAL DATA", "G", "N")</f>
        <v>N</v>
      </c>
      <c r="G433" t="s">
        <v>324</v>
      </c>
      <c r="J433" t="str">
        <f t="shared" si="6"/>
        <v>DUSAFWIZ_U32WG_VS_DUSAF4aree militari obliterate</v>
      </c>
      <c r="K433">
        <f>_xlfn.XLOOKUP(Tabella1[[#This Row],[Concatenato]],'Original data'!D:D,'Original data'!E:E)</f>
        <v>33</v>
      </c>
      <c r="L433" t="s">
        <v>630</v>
      </c>
    </row>
    <row r="434" spans="2:12" x14ac:dyDescent="0.3">
      <c r="B434" t="s">
        <v>592</v>
      </c>
      <c r="C434" t="s">
        <v>425</v>
      </c>
      <c r="D434" t="s">
        <v>586</v>
      </c>
      <c r="E434" t="str">
        <f>IF(Tabella1[[#This Row],[Data type]]= "GEOMORPHOLOGICAL DATA", "G", "N")</f>
        <v>G</v>
      </c>
      <c r="F434" t="s">
        <v>634</v>
      </c>
      <c r="G434" t="s">
        <v>372</v>
      </c>
      <c r="J434" t="str">
        <f t="shared" si="6"/>
        <v>Opere_Difesa_SuoloODS_TOT_areerivestimento antierosivo sintetico</v>
      </c>
      <c r="K434">
        <f>_xlfn.XLOOKUP(Tabella1[[#This Row],[Concatenato]],'Original data'!D:D,'Original data'!E:E)</f>
        <v>34</v>
      </c>
      <c r="L434" t="s">
        <v>615</v>
      </c>
    </row>
    <row r="435" spans="2:12" x14ac:dyDescent="0.3">
      <c r="B435" t="s">
        <v>592</v>
      </c>
      <c r="C435" t="s">
        <v>426</v>
      </c>
      <c r="D435" t="s">
        <v>586</v>
      </c>
      <c r="E435" t="str">
        <f>IF(Tabella1[[#This Row],[Data type]]= "GEOMORPHOLOGICAL DATA", "G", "N")</f>
        <v>G</v>
      </c>
      <c r="F435" t="s">
        <v>634</v>
      </c>
      <c r="G435" t="s">
        <v>357</v>
      </c>
      <c r="J435" t="str">
        <f t="shared" si="6"/>
        <v>Opere_Difesa_SuoloODS_TOT_lineeterra armata/rinforzata</v>
      </c>
      <c r="K435">
        <f>_xlfn.XLOOKUP(Tabella1[[#This Row],[Concatenato]],'Original data'!D:D,'Original data'!E:E)</f>
        <v>34</v>
      </c>
      <c r="L435" t="s">
        <v>615</v>
      </c>
    </row>
    <row r="436" spans="2:12" x14ac:dyDescent="0.3">
      <c r="B436" t="s">
        <v>592</v>
      </c>
      <c r="C436" t="s">
        <v>426</v>
      </c>
      <c r="D436" t="s">
        <v>587</v>
      </c>
      <c r="E436" t="str">
        <f>IF(Tabella1[[#This Row],[Data type]]= "GEOMORPHOLOGICAL DATA", "G", "N")</f>
        <v>N</v>
      </c>
      <c r="G436" t="s">
        <v>393</v>
      </c>
      <c r="J436" t="str">
        <f t="shared" si="6"/>
        <v>Opere_Difesa_SuoloODS_TOT_lineedisboscamento</v>
      </c>
      <c r="K436">
        <f>_xlfn.XLOOKUP(Tabella1[[#This Row],[Concatenato]],'Original data'!D:D,'Original data'!E:E)</f>
        <v>32</v>
      </c>
      <c r="L436" t="s">
        <v>630</v>
      </c>
    </row>
    <row r="437" spans="2:12" x14ac:dyDescent="0.3">
      <c r="B437" s="5" t="s">
        <v>593</v>
      </c>
      <c r="C437" t="s">
        <v>248</v>
      </c>
      <c r="D437" t="s">
        <v>589</v>
      </c>
      <c r="E437" t="str">
        <f>IF(Tabella1[[#This Row],[Data type]]= "GEOMORPHOLOGICAL DATA", "G", "N")</f>
        <v>N</v>
      </c>
      <c r="G437" t="s">
        <v>156</v>
      </c>
      <c r="J437" t="str">
        <f t="shared" si="6"/>
        <v>altri_datiWIZ_U32WG_VS_SIT_GEO_250Kprasiniti</v>
      </c>
      <c r="K437">
        <f>_xlfn.XLOOKUP(Tabella1[[#This Row],[Concatenato]],'Original data'!D:D,'Original data'!E:E)</f>
        <v>32</v>
      </c>
      <c r="L437" t="s">
        <v>630</v>
      </c>
    </row>
    <row r="438" spans="2:12" x14ac:dyDescent="0.3">
      <c r="B438" t="s">
        <v>592</v>
      </c>
      <c r="C438" t="s">
        <v>443</v>
      </c>
      <c r="D438" t="s">
        <v>586</v>
      </c>
      <c r="E438" t="str">
        <f>IF(Tabella1[[#This Row],[Data type]]= "GEOMORPHOLOGICAL DATA", "G", "N")</f>
        <v>G</v>
      </c>
      <c r="F438" t="s">
        <v>634</v>
      </c>
      <c r="G438" t="s">
        <v>359</v>
      </c>
      <c r="J438" t="str">
        <f t="shared" si="6"/>
        <v>Opere_Difesa_SuoloODS_TOT_puntiponte da neve</v>
      </c>
      <c r="K438">
        <f>_xlfn.XLOOKUP(Tabella1[[#This Row],[Concatenato]],'Original data'!D:D,'Original data'!E:E)</f>
        <v>33</v>
      </c>
      <c r="L438" t="s">
        <v>615</v>
      </c>
    </row>
    <row r="439" spans="2:12" x14ac:dyDescent="0.3">
      <c r="B439" s="5" t="s">
        <v>593</v>
      </c>
      <c r="C439" t="s">
        <v>248</v>
      </c>
      <c r="D439" t="s">
        <v>589</v>
      </c>
      <c r="E439" t="str">
        <f>IF(Tabella1[[#This Row],[Data type]]= "GEOMORPHOLOGICAL DATA", "G", "N")</f>
        <v>N</v>
      </c>
      <c r="G439" t="s">
        <v>205</v>
      </c>
      <c r="J439" t="str">
        <f t="shared" si="6"/>
        <v>altri_datiWIZ_U32WG_VS_SIT_GEO_250Kargilliti</v>
      </c>
      <c r="K439">
        <f>_xlfn.XLOOKUP(Tabella1[[#This Row],[Concatenato]],'Original data'!D:D,'Original data'!E:E)</f>
        <v>31</v>
      </c>
      <c r="L439" t="s">
        <v>630</v>
      </c>
    </row>
    <row r="440" spans="2:12" x14ac:dyDescent="0.3">
      <c r="B440" t="s">
        <v>592</v>
      </c>
      <c r="C440" t="s">
        <v>426</v>
      </c>
      <c r="D440" t="s">
        <v>586</v>
      </c>
      <c r="E440" t="str">
        <f>IF(Tabella1[[#This Row],[Data type]]= "GEOMORPHOLOGICAL DATA", "G", "N")</f>
        <v>G</v>
      </c>
      <c r="F440" t="s">
        <v>634</v>
      </c>
      <c r="G440" t="s">
        <v>386</v>
      </c>
      <c r="J440" t="str">
        <f t="shared" si="6"/>
        <v>Opere_Difesa_SuoloODS_TOT_lineerete da neve</v>
      </c>
      <c r="K440">
        <f>_xlfn.XLOOKUP(Tabella1[[#This Row],[Concatenato]],'Original data'!D:D,'Original data'!E:E)</f>
        <v>33</v>
      </c>
      <c r="L440" t="s">
        <v>615</v>
      </c>
    </row>
    <row r="441" spans="2:12" x14ac:dyDescent="0.3">
      <c r="B441" s="5" t="s">
        <v>593</v>
      </c>
      <c r="C441" t="s">
        <v>248</v>
      </c>
      <c r="D441" t="s">
        <v>589</v>
      </c>
      <c r="E441" t="str">
        <f>IF(Tabella1[[#This Row],[Data type]]= "GEOMORPHOLOGICAL DATA", "G", "N")</f>
        <v>N</v>
      </c>
      <c r="G441" t="s">
        <v>197</v>
      </c>
      <c r="J441" t="str">
        <f t="shared" si="6"/>
        <v>altri_datiWIZ_U32WG_VS_SIT_GEO_250Karenarie, siltiti, argilliti</v>
      </c>
      <c r="K441">
        <f>_xlfn.XLOOKUP(Tabella1[[#This Row],[Concatenato]],'Original data'!D:D,'Original data'!E:E)</f>
        <v>30</v>
      </c>
      <c r="L441" t="s">
        <v>630</v>
      </c>
    </row>
    <row r="442" spans="2:12" x14ac:dyDescent="0.3">
      <c r="B442" s="5" t="s">
        <v>595</v>
      </c>
      <c r="C442" t="s">
        <v>262</v>
      </c>
      <c r="D442" t="s">
        <v>587</v>
      </c>
      <c r="E442" t="str">
        <f>IF(Tabella1[[#This Row],[Data type]]= "GEOMORPHOLOGICAL DATA", "G", "N")</f>
        <v>N</v>
      </c>
      <c r="G442" t="s">
        <v>322</v>
      </c>
      <c r="J442" t="str">
        <f t="shared" si="6"/>
        <v>DUSAFWIZ_U32WG_VS_DUSAF4Parchi divertimento</v>
      </c>
      <c r="K442">
        <f>_xlfn.XLOOKUP(Tabella1[[#This Row],[Concatenato]],'Original data'!D:D,'Original data'!E:E)</f>
        <v>30</v>
      </c>
      <c r="L442" t="s">
        <v>630</v>
      </c>
    </row>
    <row r="443" spans="2:12" x14ac:dyDescent="0.3">
      <c r="B443" t="s">
        <v>592</v>
      </c>
      <c r="C443" t="s">
        <v>426</v>
      </c>
      <c r="D443" t="s">
        <v>586</v>
      </c>
      <c r="E443" t="str">
        <f>IF(Tabella1[[#This Row],[Data type]]= "GEOMORPHOLOGICAL DATA", "G", "N")</f>
        <v>G</v>
      </c>
      <c r="F443" t="s">
        <v>634</v>
      </c>
      <c r="G443" t="s">
        <v>400</v>
      </c>
      <c r="J443" t="str">
        <f t="shared" si="6"/>
        <v>Opere_Difesa_SuoloODS_TOT_lineereticolo micropali</v>
      </c>
      <c r="K443">
        <f>_xlfn.XLOOKUP(Tabella1[[#This Row],[Concatenato]],'Original data'!D:D,'Original data'!E:E)</f>
        <v>33</v>
      </c>
      <c r="L443" t="s">
        <v>615</v>
      </c>
    </row>
    <row r="444" spans="2:12" x14ac:dyDescent="0.3">
      <c r="B444" t="s">
        <v>592</v>
      </c>
      <c r="C444" t="s">
        <v>426</v>
      </c>
      <c r="D444" t="s">
        <v>587</v>
      </c>
      <c r="E444" t="str">
        <f>IF(Tabella1[[#This Row],[Data type]]= "GEOMORPHOLOGICAL DATA", "G", "N")</f>
        <v>N</v>
      </c>
      <c r="G444" t="s">
        <v>377</v>
      </c>
      <c r="J444" t="str">
        <f t="shared" si="6"/>
        <v>Opere_Difesa_SuoloODS_TOT_lineepiantumazione</v>
      </c>
      <c r="K444">
        <f>_xlfn.XLOOKUP(Tabella1[[#This Row],[Concatenato]],'Original data'!D:D,'Original data'!E:E)</f>
        <v>28</v>
      </c>
      <c r="L444" t="s">
        <v>630</v>
      </c>
    </row>
    <row r="445" spans="2:12" x14ac:dyDescent="0.3">
      <c r="B445" s="5" t="s">
        <v>593</v>
      </c>
      <c r="C445" t="s">
        <v>248</v>
      </c>
      <c r="D445" t="s">
        <v>589</v>
      </c>
      <c r="E445" t="str">
        <f>IF(Tabella1[[#This Row],[Data type]]= "GEOMORPHOLOGICAL DATA", "G", "N")</f>
        <v>N</v>
      </c>
      <c r="G445" t="s">
        <v>166</v>
      </c>
      <c r="J445" t="str">
        <f t="shared" si="6"/>
        <v>altri_datiWIZ_U32WG_VS_SIT_GEO_250Kquarzodioriti e tonaliti</v>
      </c>
      <c r="K445">
        <f>_xlfn.XLOOKUP(Tabella1[[#This Row],[Concatenato]],'Original data'!D:D,'Original data'!E:E)</f>
        <v>28</v>
      </c>
      <c r="L445" t="s">
        <v>630</v>
      </c>
    </row>
    <row r="446" spans="2:12" x14ac:dyDescent="0.3">
      <c r="B446" s="5" t="s">
        <v>593</v>
      </c>
      <c r="C446" t="s">
        <v>248</v>
      </c>
      <c r="D446" t="s">
        <v>589</v>
      </c>
      <c r="E446" t="str">
        <f>IF(Tabella1[[#This Row],[Data type]]= "GEOMORPHOLOGICAL DATA", "G", "N")</f>
        <v>N</v>
      </c>
      <c r="G446" t="s">
        <v>170</v>
      </c>
      <c r="J446" t="str">
        <f t="shared" si="6"/>
        <v>altri_datiWIZ_U32WG_VS_SIT_GEO_250Kserpentiniti</v>
      </c>
      <c r="K446">
        <f>_xlfn.XLOOKUP(Tabella1[[#This Row],[Concatenato]],'Original data'!D:D,'Original data'!E:E)</f>
        <v>28</v>
      </c>
      <c r="L446" t="s">
        <v>630</v>
      </c>
    </row>
    <row r="447" spans="2:12" x14ac:dyDescent="0.3">
      <c r="B447" t="s">
        <v>592</v>
      </c>
      <c r="C447" t="s">
        <v>443</v>
      </c>
      <c r="D447" t="s">
        <v>588</v>
      </c>
      <c r="E447" t="str">
        <f>IF(Tabella1[[#This Row],[Data type]]= "GEOMORPHOLOGICAL DATA", "G", "N")</f>
        <v>N</v>
      </c>
      <c r="G447" t="s">
        <v>382</v>
      </c>
      <c r="J447" t="str">
        <f t="shared" si="6"/>
        <v>Opere_Difesa_SuoloODS_TOT_puntisvaso/pulizia alveo</v>
      </c>
      <c r="K447">
        <f>_xlfn.XLOOKUP(Tabella1[[#This Row],[Concatenato]],'Original data'!D:D,'Original data'!E:E)</f>
        <v>28</v>
      </c>
      <c r="L447" t="s">
        <v>630</v>
      </c>
    </row>
    <row r="448" spans="2:12" x14ac:dyDescent="0.3">
      <c r="B448" s="5" t="s">
        <v>593</v>
      </c>
      <c r="C448" t="s">
        <v>248</v>
      </c>
      <c r="D448" t="s">
        <v>589</v>
      </c>
      <c r="E448" t="str">
        <f>IF(Tabella1[[#This Row],[Data type]]= "GEOMORPHOLOGICAL DATA", "G", "N")</f>
        <v>N</v>
      </c>
      <c r="G448" t="s">
        <v>159</v>
      </c>
      <c r="J448" t="str">
        <f t="shared" si="6"/>
        <v>altri_datiWIZ_U32WG_VS_SIT_GEO_250Kquarziti</v>
      </c>
      <c r="K448">
        <f>_xlfn.XLOOKUP(Tabella1[[#This Row],[Concatenato]],'Original data'!D:D,'Original data'!E:E)</f>
        <v>26</v>
      </c>
      <c r="L448" t="s">
        <v>630</v>
      </c>
    </row>
    <row r="449" spans="2:12" x14ac:dyDescent="0.3">
      <c r="B449" t="s">
        <v>592</v>
      </c>
      <c r="C449" t="s">
        <v>443</v>
      </c>
      <c r="D449" t="s">
        <v>587</v>
      </c>
      <c r="E449" t="str">
        <f>IF(Tabella1[[#This Row],[Data type]]= "GEOMORPHOLOGICAL DATA", "G", "N")</f>
        <v>N</v>
      </c>
      <c r="G449" t="s">
        <v>393</v>
      </c>
      <c r="J449" t="str">
        <f t="shared" si="6"/>
        <v>Opere_Difesa_SuoloODS_TOT_puntidisboscamento</v>
      </c>
      <c r="K449">
        <f>_xlfn.XLOOKUP(Tabella1[[#This Row],[Concatenato]],'Original data'!D:D,'Original data'!E:E)</f>
        <v>25</v>
      </c>
      <c r="L449" t="s">
        <v>630</v>
      </c>
    </row>
    <row r="450" spans="2:12" x14ac:dyDescent="0.3">
      <c r="B450" t="s">
        <v>592</v>
      </c>
      <c r="C450" t="s">
        <v>425</v>
      </c>
      <c r="D450" t="s">
        <v>587</v>
      </c>
      <c r="E450" t="str">
        <f>IF(Tabella1[[#This Row],[Data type]]= "GEOMORPHOLOGICAL DATA", "G", "N")</f>
        <v>N</v>
      </c>
      <c r="G450" t="s">
        <v>381</v>
      </c>
      <c r="J450" t="str">
        <f t="shared" ref="J450:J513" si="7">_xlfn.CONCAT(B450,C450,G450)</f>
        <v>Opere_Difesa_SuoloODS_TOT_areedemolizione</v>
      </c>
      <c r="K450">
        <f>_xlfn.XLOOKUP(Tabella1[[#This Row],[Concatenato]],'Original data'!D:D,'Original data'!E:E)</f>
        <v>24</v>
      </c>
      <c r="L450" t="s">
        <v>630</v>
      </c>
    </row>
    <row r="451" spans="2:12" x14ac:dyDescent="0.3">
      <c r="B451" t="s">
        <v>592</v>
      </c>
      <c r="C451" t="s">
        <v>425</v>
      </c>
      <c r="D451" t="s">
        <v>586</v>
      </c>
      <c r="E451" t="str">
        <f>IF(Tabella1[[#This Row],[Data type]]= "GEOMORPHOLOGICAL DATA", "G", "N")</f>
        <v>G</v>
      </c>
      <c r="F451" t="s">
        <v>634</v>
      </c>
      <c r="G451" t="s">
        <v>370</v>
      </c>
      <c r="J451" t="str">
        <f t="shared" si="7"/>
        <v>Opere_Difesa_SuoloODS_TOT_areedrenaggio profondo</v>
      </c>
      <c r="K451">
        <f>_xlfn.XLOOKUP(Tabella1[[#This Row],[Concatenato]],'Original data'!D:D,'Original data'!E:E)</f>
        <v>28</v>
      </c>
      <c r="L451" t="s">
        <v>615</v>
      </c>
    </row>
    <row r="452" spans="2:12" x14ac:dyDescent="0.3">
      <c r="B452" t="s">
        <v>592</v>
      </c>
      <c r="C452" t="s">
        <v>425</v>
      </c>
      <c r="D452" t="s">
        <v>586</v>
      </c>
      <c r="E452" t="str">
        <f>IF(Tabella1[[#This Row],[Data type]]= "GEOMORPHOLOGICAL DATA", "G", "N")</f>
        <v>G</v>
      </c>
      <c r="F452" t="s">
        <v>634</v>
      </c>
      <c r="G452" t="s">
        <v>346</v>
      </c>
      <c r="J452" t="str">
        <f t="shared" si="7"/>
        <v>Opere_Difesa_SuoloODS_TOT_areetombotto</v>
      </c>
      <c r="K452">
        <f>_xlfn.XLOOKUP(Tabella1[[#This Row],[Concatenato]],'Original data'!D:D,'Original data'!E:E)</f>
        <v>28</v>
      </c>
      <c r="L452" t="s">
        <v>615</v>
      </c>
    </row>
    <row r="453" spans="2:12" x14ac:dyDescent="0.3">
      <c r="B453" t="s">
        <v>592</v>
      </c>
      <c r="C453" t="s">
        <v>443</v>
      </c>
      <c r="D453" t="s">
        <v>588</v>
      </c>
      <c r="E453" t="str">
        <f>IF(Tabella1[[#This Row],[Data type]]= "GEOMORPHOLOGICAL DATA", "G", "N")</f>
        <v>N</v>
      </c>
      <c r="G453" t="s">
        <v>396</v>
      </c>
      <c r="J453" t="str">
        <f t="shared" si="7"/>
        <v>Opere_Difesa_SuoloODS_TOT_puntipali</v>
      </c>
      <c r="K453">
        <f>_xlfn.XLOOKUP(Tabella1[[#This Row],[Concatenato]],'Original data'!D:D,'Original data'!E:E)</f>
        <v>23</v>
      </c>
      <c r="L453" t="s">
        <v>630</v>
      </c>
    </row>
    <row r="454" spans="2:12" x14ac:dyDescent="0.3">
      <c r="B454" t="s">
        <v>592</v>
      </c>
      <c r="C454" t="s">
        <v>443</v>
      </c>
      <c r="D454" t="s">
        <v>586</v>
      </c>
      <c r="E454" t="str">
        <f>IF(Tabella1[[#This Row],[Data type]]= "GEOMORPHOLOGICAL DATA", "G", "N")</f>
        <v>G</v>
      </c>
      <c r="F454" t="s">
        <v>634</v>
      </c>
      <c r="G454" t="s">
        <v>368</v>
      </c>
      <c r="J454" t="str">
        <f t="shared" si="7"/>
        <v>Opere_Difesa_SuoloODS_TOT_puntifascinata viva</v>
      </c>
      <c r="K454">
        <f>_xlfn.XLOOKUP(Tabella1[[#This Row],[Concatenato]],'Original data'!D:D,'Original data'!E:E)</f>
        <v>24</v>
      </c>
      <c r="L454" t="s">
        <v>615</v>
      </c>
    </row>
    <row r="455" spans="2:12" x14ac:dyDescent="0.3">
      <c r="B455" t="s">
        <v>592</v>
      </c>
      <c r="C455" t="s">
        <v>426</v>
      </c>
      <c r="D455" t="s">
        <v>586</v>
      </c>
      <c r="E455" t="str">
        <f>IF(Tabella1[[#This Row],[Data type]]= "GEOMORPHOLOGICAL DATA", "G", "N")</f>
        <v>G</v>
      </c>
      <c r="F455" t="s">
        <v>634</v>
      </c>
      <c r="G455" t="s">
        <v>355</v>
      </c>
      <c r="J455" t="str">
        <f t="shared" si="7"/>
        <v>Opere_Difesa_SuoloODS_TOT_lineeimpermeabilizzazione</v>
      </c>
      <c r="K455">
        <f>_xlfn.XLOOKUP(Tabella1[[#This Row],[Concatenato]],'Original data'!D:D,'Original data'!E:E)</f>
        <v>24</v>
      </c>
      <c r="L455" t="s">
        <v>615</v>
      </c>
    </row>
    <row r="456" spans="2:12" x14ac:dyDescent="0.3">
      <c r="B456" t="s">
        <v>592</v>
      </c>
      <c r="C456" t="s">
        <v>443</v>
      </c>
      <c r="D456" t="s">
        <v>586</v>
      </c>
      <c r="E456" t="str">
        <f>IF(Tabella1[[#This Row],[Data type]]= "GEOMORPHOLOGICAL DATA", "G", "N")</f>
        <v>G</v>
      </c>
      <c r="F456" t="s">
        <v>634</v>
      </c>
      <c r="G456" t="s">
        <v>375</v>
      </c>
      <c r="J456" t="str">
        <f t="shared" si="7"/>
        <v>Opere_Difesa_SuoloODS_TOT_puntirete paramassi</v>
      </c>
      <c r="K456">
        <f>_xlfn.XLOOKUP(Tabella1[[#This Row],[Concatenato]],'Original data'!D:D,'Original data'!E:E)</f>
        <v>24</v>
      </c>
      <c r="L456" t="s">
        <v>615</v>
      </c>
    </row>
    <row r="457" spans="2:12" x14ac:dyDescent="0.3">
      <c r="B457" t="s">
        <v>592</v>
      </c>
      <c r="C457" t="s">
        <v>425</v>
      </c>
      <c r="D457" t="s">
        <v>588</v>
      </c>
      <c r="E457" t="str">
        <f>IF(Tabella1[[#This Row],[Data type]]= "GEOMORPHOLOGICAL DATA", "G", "N")</f>
        <v>N</v>
      </c>
      <c r="G457" t="s">
        <v>405</v>
      </c>
      <c r="J457" t="str">
        <f t="shared" si="7"/>
        <v>Opere_Difesa_SuoloODS_TOT_areesondaggio geognostico</v>
      </c>
      <c r="K457">
        <f>_xlfn.XLOOKUP(Tabella1[[#This Row],[Concatenato]],'Original data'!D:D,'Original data'!E:E)</f>
        <v>22</v>
      </c>
      <c r="L457" t="s">
        <v>630</v>
      </c>
    </row>
    <row r="458" spans="2:12" x14ac:dyDescent="0.3">
      <c r="B458" s="5" t="s">
        <v>593</v>
      </c>
      <c r="C458" t="s">
        <v>248</v>
      </c>
      <c r="D458" t="s">
        <v>589</v>
      </c>
      <c r="E458" t="str">
        <f>IF(Tabella1[[#This Row],[Data type]]= "GEOMORPHOLOGICAL DATA", "G", "N")</f>
        <v>N</v>
      </c>
      <c r="G458" t="s">
        <v>171</v>
      </c>
      <c r="J458" t="str">
        <f t="shared" si="7"/>
        <v>altri_datiWIZ_U32WG_VS_SIT_GEO_250Kdolomie e calcari cristallini, carniole</v>
      </c>
      <c r="K458">
        <f>_xlfn.XLOOKUP(Tabella1[[#This Row],[Concatenato]],'Original data'!D:D,'Original data'!E:E)</f>
        <v>21</v>
      </c>
      <c r="L458" t="s">
        <v>630</v>
      </c>
    </row>
    <row r="459" spans="2:12" x14ac:dyDescent="0.3">
      <c r="B459" s="5" t="s">
        <v>593</v>
      </c>
      <c r="C459" t="s">
        <v>248</v>
      </c>
      <c r="D459" t="s">
        <v>589</v>
      </c>
      <c r="E459" t="str">
        <f>IF(Tabella1[[#This Row],[Data type]]= "GEOMORPHOLOGICAL DATA", "G", "N")</f>
        <v>N</v>
      </c>
      <c r="G459" t="s">
        <v>185</v>
      </c>
      <c r="J459" t="str">
        <f t="shared" si="7"/>
        <v>altri_datiWIZ_U32WG_VS_SIT_GEO_250Kgruppo della ''Dolomia principale''</v>
      </c>
      <c r="K459">
        <f>_xlfn.XLOOKUP(Tabella1[[#This Row],[Concatenato]],'Original data'!D:D,'Original data'!E:E)</f>
        <v>20</v>
      </c>
      <c r="L459" t="s">
        <v>630</v>
      </c>
    </row>
    <row r="460" spans="2:12" x14ac:dyDescent="0.3">
      <c r="B460" t="s">
        <v>592</v>
      </c>
      <c r="C460" t="s">
        <v>443</v>
      </c>
      <c r="D460" t="s">
        <v>588</v>
      </c>
      <c r="E460" t="str">
        <f>IF(Tabella1[[#This Row],[Data type]]= "GEOMORPHOLOGICAL DATA", "G", "N")</f>
        <v>N</v>
      </c>
      <c r="G460" t="s">
        <v>431</v>
      </c>
      <c r="J460" t="str">
        <f t="shared" si="7"/>
        <v>Opere_Difesa_SuoloODS_TOT_puntipluviometro</v>
      </c>
      <c r="K460">
        <f>_xlfn.XLOOKUP(Tabella1[[#This Row],[Concatenato]],'Original data'!D:D,'Original data'!E:E)</f>
        <v>20</v>
      </c>
      <c r="L460" t="s">
        <v>630</v>
      </c>
    </row>
    <row r="461" spans="2:12" x14ac:dyDescent="0.3">
      <c r="B461" t="s">
        <v>592</v>
      </c>
      <c r="C461" t="s">
        <v>426</v>
      </c>
      <c r="D461" t="s">
        <v>586</v>
      </c>
      <c r="E461" t="str">
        <f>IF(Tabella1[[#This Row],[Data type]]= "GEOMORPHOLOGICAL DATA", "G", "N")</f>
        <v>G</v>
      </c>
      <c r="F461" t="s">
        <v>634</v>
      </c>
      <c r="G461" t="s">
        <v>374</v>
      </c>
      <c r="J461" t="str">
        <f t="shared" si="7"/>
        <v>Opere_Difesa_SuoloODS_TOT_lineevasca di accumulo</v>
      </c>
      <c r="K461">
        <f>_xlfn.XLOOKUP(Tabella1[[#This Row],[Concatenato]],'Original data'!D:D,'Original data'!E:E)</f>
        <v>23</v>
      </c>
      <c r="L461" t="s">
        <v>615</v>
      </c>
    </row>
    <row r="462" spans="2:12" x14ac:dyDescent="0.3">
      <c r="B462" t="s">
        <v>592</v>
      </c>
      <c r="C462" t="s">
        <v>443</v>
      </c>
      <c r="D462" t="s">
        <v>588</v>
      </c>
      <c r="E462" t="str">
        <f>IF(Tabella1[[#This Row],[Data type]]= "GEOMORPHOLOGICAL DATA", "G", "N")</f>
        <v>N</v>
      </c>
      <c r="G462" t="s">
        <v>423</v>
      </c>
      <c r="J462" t="str">
        <f t="shared" si="7"/>
        <v>Opere_Difesa_SuoloODS_TOT_puntitermometro</v>
      </c>
      <c r="K462">
        <f>_xlfn.XLOOKUP(Tabella1[[#This Row],[Concatenato]],'Original data'!D:D,'Original data'!E:E)</f>
        <v>20</v>
      </c>
      <c r="L462" t="s">
        <v>630</v>
      </c>
    </row>
    <row r="463" spans="2:12" x14ac:dyDescent="0.3">
      <c r="B463" s="5" t="s">
        <v>593</v>
      </c>
      <c r="C463" t="s">
        <v>248</v>
      </c>
      <c r="D463" t="s">
        <v>589</v>
      </c>
      <c r="E463" t="str">
        <f>IF(Tabella1[[#This Row],[Data type]]= "GEOMORPHOLOGICAL DATA", "G", "N")</f>
        <v>N</v>
      </c>
      <c r="G463" t="s">
        <v>238</v>
      </c>
      <c r="J463" t="str">
        <f t="shared" si="7"/>
        <v>altri_datiWIZ_U32WG_VS_SIT_GEO_250Kunità non ben definita compren. litologie delle fmz. 88 e 90</v>
      </c>
      <c r="K463">
        <f>_xlfn.XLOOKUP(Tabella1[[#This Row],[Concatenato]],'Original data'!D:D,'Original data'!E:E)</f>
        <v>20</v>
      </c>
      <c r="L463" t="s">
        <v>630</v>
      </c>
    </row>
    <row r="464" spans="2:12" x14ac:dyDescent="0.3">
      <c r="B464" s="5" t="s">
        <v>593</v>
      </c>
      <c r="C464" t="s">
        <v>248</v>
      </c>
      <c r="D464" t="s">
        <v>589</v>
      </c>
      <c r="E464" t="str">
        <f>IF(Tabella1[[#This Row],[Data type]]= "GEOMORPHOLOGICAL DATA", "G", "N")</f>
        <v>N</v>
      </c>
      <c r="G464" t="s">
        <v>236</v>
      </c>
      <c r="J464" t="str">
        <f t="shared" si="7"/>
        <v>altri_datiWIZ_U32WG_VS_SIT_GEO_250Kassoc. caotica di orig. tettonica delle fmz. 88,89,90,92,93</v>
      </c>
      <c r="K464">
        <f>_xlfn.XLOOKUP(Tabella1[[#This Row],[Concatenato]],'Original data'!D:D,'Original data'!E:E)</f>
        <v>19</v>
      </c>
      <c r="L464" t="s">
        <v>630</v>
      </c>
    </row>
    <row r="465" spans="2:12" x14ac:dyDescent="0.3">
      <c r="B465" s="5" t="s">
        <v>591</v>
      </c>
      <c r="C465" t="s">
        <v>92</v>
      </c>
      <c r="D465" t="s">
        <v>586</v>
      </c>
      <c r="E465" t="str">
        <f>IF(Tabella1[[#This Row],[Data type]]= "GEOMORPHOLOGICAL DATA", "G", "N")</f>
        <v>G</v>
      </c>
      <c r="F465" t="s">
        <v>640</v>
      </c>
      <c r="G465" t="s">
        <v>115</v>
      </c>
      <c r="J465" t="str">
        <f t="shared" si="7"/>
        <v>basi_ambientali_pianuraWIZ_U32WG_VS_SIT_BASI_ELELINFaglia o lineazione</v>
      </c>
      <c r="K465">
        <f>_xlfn.XLOOKUP(Tabella1[[#This Row],[Concatenato]],'Original data'!D:D,'Original data'!E:E)</f>
        <v>22</v>
      </c>
      <c r="L465" t="s">
        <v>615</v>
      </c>
    </row>
    <row r="466" spans="2:12" x14ac:dyDescent="0.3">
      <c r="B466" t="s">
        <v>592</v>
      </c>
      <c r="C466" t="s">
        <v>425</v>
      </c>
      <c r="D466" t="s">
        <v>586</v>
      </c>
      <c r="E466" t="str">
        <f>IF(Tabella1[[#This Row],[Data type]]= "GEOMORPHOLOGICAL DATA", "G", "N")</f>
        <v>G</v>
      </c>
      <c r="F466" t="s">
        <v>634</v>
      </c>
      <c r="G466" t="s">
        <v>373</v>
      </c>
      <c r="J466" t="str">
        <f t="shared" si="7"/>
        <v>Opere_Difesa_SuoloODS_TOT_areemuro</v>
      </c>
      <c r="K466">
        <f>_xlfn.XLOOKUP(Tabella1[[#This Row],[Concatenato]],'Original data'!D:D,'Original data'!E:E)</f>
        <v>22</v>
      </c>
      <c r="L466" t="s">
        <v>615</v>
      </c>
    </row>
    <row r="467" spans="2:12" x14ac:dyDescent="0.3">
      <c r="B467" t="s">
        <v>592</v>
      </c>
      <c r="C467" t="s">
        <v>426</v>
      </c>
      <c r="D467" t="s">
        <v>586</v>
      </c>
      <c r="E467" t="str">
        <f>IF(Tabella1[[#This Row],[Data type]]= "GEOMORPHOLOGICAL DATA", "G", "N")</f>
        <v>G</v>
      </c>
      <c r="F467" t="s">
        <v>634</v>
      </c>
      <c r="G467" t="s">
        <v>376</v>
      </c>
      <c r="J467" t="str">
        <f t="shared" si="7"/>
        <v>Opere_Difesa_SuoloODS_TOT_lineerilevato/vallo paramassi</v>
      </c>
      <c r="K467">
        <f>_xlfn.XLOOKUP(Tabella1[[#This Row],[Concatenato]],'Original data'!D:D,'Original data'!E:E)</f>
        <v>20</v>
      </c>
      <c r="L467" t="s">
        <v>615</v>
      </c>
    </row>
    <row r="468" spans="2:12" x14ac:dyDescent="0.3">
      <c r="B468" t="s">
        <v>592</v>
      </c>
      <c r="C468" t="s">
        <v>443</v>
      </c>
      <c r="D468" t="s">
        <v>588</v>
      </c>
      <c r="E468" t="str">
        <f>IF(Tabella1[[#This Row],[Data type]]= "GEOMORPHOLOGICAL DATA", "G", "N")</f>
        <v>N</v>
      </c>
      <c r="G468" t="s">
        <v>424</v>
      </c>
      <c r="J468" t="str">
        <f t="shared" si="7"/>
        <v>Opere_Difesa_SuoloODS_TOT_puntiindagine elettrica</v>
      </c>
      <c r="K468">
        <f>_xlfn.XLOOKUP(Tabella1[[#This Row],[Concatenato]],'Original data'!D:D,'Original data'!E:E)</f>
        <v>19</v>
      </c>
      <c r="L468" t="s">
        <v>630</v>
      </c>
    </row>
    <row r="469" spans="2:12" x14ac:dyDescent="0.3">
      <c r="B469" s="5" t="s">
        <v>591</v>
      </c>
      <c r="C469" t="s">
        <v>92</v>
      </c>
      <c r="D469" t="s">
        <v>588</v>
      </c>
      <c r="E469" t="s">
        <v>643</v>
      </c>
      <c r="G469" t="s">
        <v>101</v>
      </c>
      <c r="J469" t="str">
        <f t="shared" si="7"/>
        <v>basi_ambientali_pianuraWIZ_U32WG_VS_SIT_BASI_ELELINcrinali arrotondati</v>
      </c>
      <c r="K469">
        <f>_xlfn.XLOOKUP(Tabella1[[#This Row],[Concatenato]],'Original data'!D:D,'Original data'!E:E)</f>
        <v>19</v>
      </c>
      <c r="L469" t="s">
        <v>630</v>
      </c>
    </row>
    <row r="470" spans="2:12" x14ac:dyDescent="0.3">
      <c r="B470" s="5" t="s">
        <v>593</v>
      </c>
      <c r="C470" t="s">
        <v>248</v>
      </c>
      <c r="D470" t="s">
        <v>589</v>
      </c>
      <c r="E470" t="str">
        <f>IF(Tabella1[[#This Row],[Data type]]= "GEOMORPHOLOGICAL DATA", "G", "N")</f>
        <v>N</v>
      </c>
      <c r="G470" t="s">
        <v>235</v>
      </c>
      <c r="J470" t="str">
        <f t="shared" si="7"/>
        <v>altri_datiWIZ_U32WG_VS_SIT_GEO_250Kargille, marne e calcari</v>
      </c>
      <c r="K470">
        <f>_xlfn.XLOOKUP(Tabella1[[#This Row],[Concatenato]],'Original data'!D:D,'Original data'!E:E)</f>
        <v>18</v>
      </c>
      <c r="L470" t="s">
        <v>630</v>
      </c>
    </row>
    <row r="471" spans="2:12" x14ac:dyDescent="0.3">
      <c r="B471" t="s">
        <v>592</v>
      </c>
      <c r="C471" t="s">
        <v>443</v>
      </c>
      <c r="D471" t="s">
        <v>586</v>
      </c>
      <c r="E471" t="str">
        <f>IF(Tabella1[[#This Row],[Data type]]= "GEOMORPHOLOGICAL DATA", "G", "N")</f>
        <v>G</v>
      </c>
      <c r="F471" t="s">
        <v>634</v>
      </c>
      <c r="G471" t="s">
        <v>438</v>
      </c>
      <c r="J471" t="str">
        <f t="shared" si="7"/>
        <v>Opere_Difesa_SuoloODS_TOT_punticumuli di terra</v>
      </c>
      <c r="K471">
        <f>_xlfn.XLOOKUP(Tabella1[[#This Row],[Concatenato]],'Original data'!D:D,'Original data'!E:E)</f>
        <v>19</v>
      </c>
      <c r="L471" t="s">
        <v>615</v>
      </c>
    </row>
    <row r="472" spans="2:12" x14ac:dyDescent="0.3">
      <c r="B472" t="s">
        <v>592</v>
      </c>
      <c r="C472" t="s">
        <v>426</v>
      </c>
      <c r="D472" t="s">
        <v>587</v>
      </c>
      <c r="E472" t="str">
        <f>IF(Tabella1[[#This Row],[Data type]]= "GEOMORPHOLOGICAL DATA", "G", "N")</f>
        <v>N</v>
      </c>
      <c r="G472" t="s">
        <v>362</v>
      </c>
      <c r="J472" t="str">
        <f t="shared" si="7"/>
        <v>Opere_Difesa_SuoloODS_TOT_lineeinerbimento</v>
      </c>
      <c r="K472">
        <f>_xlfn.XLOOKUP(Tabella1[[#This Row],[Concatenato]],'Original data'!D:D,'Original data'!E:E)</f>
        <v>18</v>
      </c>
      <c r="L472" t="s">
        <v>630</v>
      </c>
    </row>
    <row r="473" spans="2:12" x14ac:dyDescent="0.3">
      <c r="B473" s="5" t="s">
        <v>593</v>
      </c>
      <c r="C473" t="s">
        <v>248</v>
      </c>
      <c r="D473" t="s">
        <v>589</v>
      </c>
      <c r="E473" t="str">
        <f>IF(Tabella1[[#This Row],[Data type]]= "GEOMORPHOLOGICAL DATA", "G", "N")</f>
        <v>N</v>
      </c>
      <c r="G473" t="s">
        <v>175</v>
      </c>
      <c r="J473" t="str">
        <f t="shared" si="7"/>
        <v>altri_datiWIZ_U32WG_VS_SIT_GEO_250Kporfiroidi</v>
      </c>
      <c r="K473">
        <f>_xlfn.XLOOKUP(Tabella1[[#This Row],[Concatenato]],'Original data'!D:D,'Original data'!E:E)</f>
        <v>18</v>
      </c>
      <c r="L473" t="s">
        <v>630</v>
      </c>
    </row>
    <row r="474" spans="2:12" x14ac:dyDescent="0.3">
      <c r="B474" s="5" t="s">
        <v>593</v>
      </c>
      <c r="C474" t="s">
        <v>248</v>
      </c>
      <c r="D474" t="s">
        <v>589</v>
      </c>
      <c r="E474" t="str">
        <f>IF(Tabella1[[#This Row],[Data type]]= "GEOMORPHOLOGICAL DATA", "G", "N")</f>
        <v>N</v>
      </c>
      <c r="G474" t="s">
        <v>172</v>
      </c>
      <c r="J474" t="str">
        <f t="shared" si="7"/>
        <v>altri_datiWIZ_U32WG_VS_SIT_GEO_250KCalcescisti non ofiolitiferi e quarzoscisti manganesiferi</v>
      </c>
      <c r="K474">
        <f>_xlfn.XLOOKUP(Tabella1[[#This Row],[Concatenato]],'Original data'!D:D,'Original data'!E:E)</f>
        <v>17</v>
      </c>
      <c r="L474" t="s">
        <v>630</v>
      </c>
    </row>
    <row r="475" spans="2:12" x14ac:dyDescent="0.3">
      <c r="B475" t="s">
        <v>592</v>
      </c>
      <c r="C475" t="s">
        <v>426</v>
      </c>
      <c r="D475" t="s">
        <v>588</v>
      </c>
      <c r="E475" t="str">
        <f>IF(Tabella1[[#This Row],[Data type]]= "GEOMORPHOLOGICAL DATA", "G", "N")</f>
        <v>N</v>
      </c>
      <c r="G475" t="s">
        <v>424</v>
      </c>
      <c r="J475" t="str">
        <f t="shared" si="7"/>
        <v>Opere_Difesa_SuoloODS_TOT_lineeindagine elettrica</v>
      </c>
      <c r="K475">
        <f>_xlfn.XLOOKUP(Tabella1[[#This Row],[Concatenato]],'Original data'!D:D,'Original data'!E:E)</f>
        <v>17</v>
      </c>
      <c r="L475" t="s">
        <v>630</v>
      </c>
    </row>
    <row r="476" spans="2:12" x14ac:dyDescent="0.3">
      <c r="B476" t="s">
        <v>592</v>
      </c>
      <c r="C476" t="s">
        <v>426</v>
      </c>
      <c r="D476" t="s">
        <v>586</v>
      </c>
      <c r="E476" t="str">
        <f>IF(Tabella1[[#This Row],[Data type]]= "GEOMORPHOLOGICAL DATA", "G", "N")</f>
        <v>G</v>
      </c>
      <c r="F476" t="s">
        <v>634</v>
      </c>
      <c r="G476" t="s">
        <v>360</v>
      </c>
      <c r="J476" t="str">
        <f t="shared" si="7"/>
        <v>Opere_Difesa_SuoloODS_TOT_lineedisgaggio</v>
      </c>
      <c r="K476">
        <f>_xlfn.XLOOKUP(Tabella1[[#This Row],[Concatenato]],'Original data'!D:D,'Original data'!E:E)</f>
        <v>17</v>
      </c>
      <c r="L476" t="s">
        <v>615</v>
      </c>
    </row>
    <row r="477" spans="2:12" x14ac:dyDescent="0.3">
      <c r="B477" s="5" t="s">
        <v>591</v>
      </c>
      <c r="C477" t="s">
        <v>137</v>
      </c>
      <c r="D477" t="s">
        <v>588</v>
      </c>
      <c r="E477" t="s">
        <v>643</v>
      </c>
      <c r="G477" t="s">
        <v>132</v>
      </c>
      <c r="J477" t="str">
        <f t="shared" si="7"/>
        <v>basi_ambientali_pianuraWIZ_U32WG_VS_SIT_BASI_SOTTOAMBRilievi isolati nella pianura</v>
      </c>
      <c r="K477">
        <f>_xlfn.XLOOKUP(Tabella1[[#This Row],[Concatenato]],'Original data'!D:D,'Original data'!E:E)</f>
        <v>17</v>
      </c>
      <c r="L477" t="s">
        <v>630</v>
      </c>
    </row>
    <row r="478" spans="2:12" x14ac:dyDescent="0.3">
      <c r="B478" t="s">
        <v>592</v>
      </c>
      <c r="C478" t="s">
        <v>443</v>
      </c>
      <c r="D478" t="s">
        <v>586</v>
      </c>
      <c r="E478" t="str">
        <f>IF(Tabella1[[#This Row],[Data type]]= "GEOMORPHOLOGICAL DATA", "G", "N")</f>
        <v>G</v>
      </c>
      <c r="F478" t="s">
        <v>634</v>
      </c>
      <c r="G478" t="s">
        <v>395</v>
      </c>
      <c r="J478" t="str">
        <f t="shared" si="7"/>
        <v>Opere_Difesa_SuoloODS_TOT_puntibarriera</v>
      </c>
      <c r="K478">
        <f>_xlfn.XLOOKUP(Tabella1[[#This Row],[Concatenato]],'Original data'!D:D,'Original data'!E:E)</f>
        <v>16</v>
      </c>
      <c r="L478" t="s">
        <v>615</v>
      </c>
    </row>
    <row r="479" spans="2:12" x14ac:dyDescent="0.3">
      <c r="B479" s="5" t="s">
        <v>591</v>
      </c>
      <c r="C479" t="s">
        <v>137</v>
      </c>
      <c r="D479" t="s">
        <v>588</v>
      </c>
      <c r="E479" t="str">
        <f>IF(Tabella1[[#This Row],[Data type]]= "GEOMORPHOLOGICAL DATA", "G", "N")</f>
        <v>N</v>
      </c>
      <c r="G479" t="s">
        <v>135</v>
      </c>
      <c r="J479" t="str">
        <f t="shared" si="7"/>
        <v>basi_ambientali_pianuraWIZ_U32WG_VS_SIT_BASI_SOTTOAMBMedia pianura idromorfa</v>
      </c>
      <c r="K479">
        <f>_xlfn.XLOOKUP(Tabella1[[#This Row],[Concatenato]],'Original data'!D:D,'Original data'!E:E)</f>
        <v>16</v>
      </c>
      <c r="L479" t="s">
        <v>630</v>
      </c>
    </row>
    <row r="480" spans="2:12" x14ac:dyDescent="0.3">
      <c r="B480" t="s">
        <v>592</v>
      </c>
      <c r="C480" t="s">
        <v>425</v>
      </c>
      <c r="D480" t="s">
        <v>586</v>
      </c>
      <c r="E480" t="str">
        <f>IF(Tabella1[[#This Row],[Data type]]= "GEOMORPHOLOGICAL DATA", "G", "N")</f>
        <v>G</v>
      </c>
      <c r="F480" t="s">
        <v>634</v>
      </c>
      <c r="G480" t="s">
        <v>409</v>
      </c>
      <c r="J480" t="str">
        <f t="shared" si="7"/>
        <v>Opere_Difesa_SuoloODS_TOT_areedrenaggio</v>
      </c>
      <c r="K480">
        <f>_xlfn.XLOOKUP(Tabella1[[#This Row],[Concatenato]],'Original data'!D:D,'Original data'!E:E)</f>
        <v>16</v>
      </c>
      <c r="L480" t="s">
        <v>615</v>
      </c>
    </row>
    <row r="481" spans="2:12" x14ac:dyDescent="0.3">
      <c r="B481" t="s">
        <v>592</v>
      </c>
      <c r="C481" t="s">
        <v>443</v>
      </c>
      <c r="D481" t="s">
        <v>588</v>
      </c>
      <c r="E481" t="str">
        <f>IF(Tabella1[[#This Row],[Data type]]= "GEOMORPHOLOGICAL DATA", "G", "N")</f>
        <v>N</v>
      </c>
      <c r="G481" t="s">
        <v>440</v>
      </c>
      <c r="J481" t="str">
        <f t="shared" si="7"/>
        <v>Opere_Difesa_SuoloODS_TOT_puntirepellente</v>
      </c>
      <c r="K481">
        <f>_xlfn.XLOOKUP(Tabella1[[#This Row],[Concatenato]],'Original data'!D:D,'Original data'!E:E)</f>
        <v>16</v>
      </c>
      <c r="L481" t="s">
        <v>630</v>
      </c>
    </row>
    <row r="482" spans="2:12" x14ac:dyDescent="0.3">
      <c r="B482" t="s">
        <v>592</v>
      </c>
      <c r="C482" t="s">
        <v>426</v>
      </c>
      <c r="D482" t="s">
        <v>586</v>
      </c>
      <c r="E482" t="str">
        <f>IF(Tabella1[[#This Row],[Data type]]= "GEOMORPHOLOGICAL DATA", "G", "N")</f>
        <v>G</v>
      </c>
      <c r="F482" t="s">
        <v>634</v>
      </c>
      <c r="G482" t="s">
        <v>407</v>
      </c>
      <c r="J482" t="str">
        <f t="shared" si="7"/>
        <v>Opere_Difesa_SuoloODS_TOT_lineegalleria paramassi</v>
      </c>
      <c r="K482">
        <f>_xlfn.XLOOKUP(Tabella1[[#This Row],[Concatenato]],'Original data'!D:D,'Original data'!E:E)</f>
        <v>16</v>
      </c>
      <c r="L482" t="s">
        <v>615</v>
      </c>
    </row>
    <row r="483" spans="2:12" x14ac:dyDescent="0.3">
      <c r="B483" s="5" t="s">
        <v>593</v>
      </c>
      <c r="C483" t="s">
        <v>248</v>
      </c>
      <c r="D483" t="s">
        <v>589</v>
      </c>
      <c r="E483" t="str">
        <f>IF(Tabella1[[#This Row],[Data type]]= "GEOMORPHOLOGICAL DATA", "G", "N")</f>
        <v>N</v>
      </c>
      <c r="G483" t="s">
        <v>173</v>
      </c>
      <c r="J483" t="str">
        <f t="shared" si="7"/>
        <v>altri_datiWIZ_U32WG_VS_SIT_GEO_250Kmicascisti argentei</v>
      </c>
      <c r="K483">
        <f>_xlfn.XLOOKUP(Tabella1[[#This Row],[Concatenato]],'Original data'!D:D,'Original data'!E:E)</f>
        <v>15</v>
      </c>
      <c r="L483" t="s">
        <v>630</v>
      </c>
    </row>
    <row r="484" spans="2:12" x14ac:dyDescent="0.3">
      <c r="B484" t="s">
        <v>592</v>
      </c>
      <c r="C484" t="s">
        <v>426</v>
      </c>
      <c r="D484" t="s">
        <v>586</v>
      </c>
      <c r="E484" t="str">
        <f>IF(Tabella1[[#This Row],[Data type]]= "GEOMORPHOLOGICAL DATA", "G", "N")</f>
        <v>G</v>
      </c>
      <c r="F484" t="s">
        <v>634</v>
      </c>
      <c r="G484" t="s">
        <v>391</v>
      </c>
      <c r="J484" t="str">
        <f t="shared" si="7"/>
        <v>Opere_Difesa_SuoloODS_TOT_lineescoronamento</v>
      </c>
      <c r="K484">
        <f>_xlfn.XLOOKUP(Tabella1[[#This Row],[Concatenato]],'Original data'!D:D,'Original data'!E:E)</f>
        <v>16</v>
      </c>
      <c r="L484" t="s">
        <v>615</v>
      </c>
    </row>
    <row r="485" spans="2:12" x14ac:dyDescent="0.3">
      <c r="B485" s="5" t="s">
        <v>593</v>
      </c>
      <c r="C485" t="s">
        <v>248</v>
      </c>
      <c r="D485" t="s">
        <v>589</v>
      </c>
      <c r="E485" t="str">
        <f>IF(Tabella1[[#This Row],[Data type]]= "GEOMORPHOLOGICAL DATA", "G", "N")</f>
        <v>N</v>
      </c>
      <c r="G485" t="s">
        <v>179</v>
      </c>
      <c r="J485" t="str">
        <f t="shared" si="7"/>
        <v>altri_datiWIZ_U32WG_VS_SIT_GEO_250Kparagneiss a due miche talora a sillimanite ove distinte</v>
      </c>
      <c r="K485">
        <f>_xlfn.XLOOKUP(Tabella1[[#This Row],[Concatenato]],'Original data'!D:D,'Original data'!E:E)</f>
        <v>15</v>
      </c>
      <c r="L485" t="s">
        <v>630</v>
      </c>
    </row>
    <row r="486" spans="2:12" x14ac:dyDescent="0.3">
      <c r="B486" s="5" t="s">
        <v>593</v>
      </c>
      <c r="C486" t="s">
        <v>248</v>
      </c>
      <c r="D486" t="s">
        <v>589</v>
      </c>
      <c r="E486" t="str">
        <f>IF(Tabella1[[#This Row],[Data type]]= "GEOMORPHOLOGICAL DATA", "G", "N")</f>
        <v>N</v>
      </c>
      <c r="G486" t="s">
        <v>165</v>
      </c>
      <c r="J486" t="str">
        <f t="shared" si="7"/>
        <v>altri_datiWIZ_U32WG_VS_SIT_GEO_250Kpegmatiti e apliti</v>
      </c>
      <c r="K486">
        <f>_xlfn.XLOOKUP(Tabella1[[#This Row],[Concatenato]],'Original data'!D:D,'Original data'!E:E)</f>
        <v>15</v>
      </c>
      <c r="L486" t="s">
        <v>630</v>
      </c>
    </row>
    <row r="487" spans="2:12" x14ac:dyDescent="0.3">
      <c r="B487" t="s">
        <v>592</v>
      </c>
      <c r="C487" t="s">
        <v>425</v>
      </c>
      <c r="D487" t="s">
        <v>586</v>
      </c>
      <c r="E487" t="str">
        <f>IF(Tabella1[[#This Row],[Data type]]= "GEOMORPHOLOGICAL DATA", "G", "N")</f>
        <v>G</v>
      </c>
      <c r="F487" t="s">
        <v>634</v>
      </c>
      <c r="G487" t="s">
        <v>407</v>
      </c>
      <c r="J487" t="str">
        <f t="shared" si="7"/>
        <v>Opere_Difesa_SuoloODS_TOT_areegalleria paramassi</v>
      </c>
      <c r="K487">
        <f>_xlfn.XLOOKUP(Tabella1[[#This Row],[Concatenato]],'Original data'!D:D,'Original data'!E:E)</f>
        <v>15</v>
      </c>
      <c r="L487" t="s">
        <v>615</v>
      </c>
    </row>
    <row r="488" spans="2:12" x14ac:dyDescent="0.3">
      <c r="B488" t="s">
        <v>592</v>
      </c>
      <c r="C488" t="s">
        <v>425</v>
      </c>
      <c r="D488" t="s">
        <v>586</v>
      </c>
      <c r="E488" t="str">
        <f>IF(Tabella1[[#This Row],[Data type]]= "GEOMORPHOLOGICAL DATA", "G", "N")</f>
        <v>G</v>
      </c>
      <c r="F488" t="s">
        <v>634</v>
      </c>
      <c r="G488" t="s">
        <v>348</v>
      </c>
      <c r="J488" t="str">
        <f t="shared" si="7"/>
        <v>Opere_Difesa_SuoloODS_TOT_areemuratura</v>
      </c>
      <c r="K488">
        <f>_xlfn.XLOOKUP(Tabella1[[#This Row],[Concatenato]],'Original data'!D:D,'Original data'!E:E)</f>
        <v>15</v>
      </c>
      <c r="L488" t="s">
        <v>615</v>
      </c>
    </row>
    <row r="489" spans="2:12" x14ac:dyDescent="0.3">
      <c r="B489" t="s">
        <v>592</v>
      </c>
      <c r="C489" t="s">
        <v>443</v>
      </c>
      <c r="D489" t="s">
        <v>586</v>
      </c>
      <c r="E489" t="str">
        <f>IF(Tabella1[[#This Row],[Data type]]= "GEOMORPHOLOGICAL DATA", "G", "N")</f>
        <v>G</v>
      </c>
      <c r="F489" t="s">
        <v>634</v>
      </c>
      <c r="G489" t="s">
        <v>391</v>
      </c>
      <c r="J489" t="str">
        <f t="shared" si="7"/>
        <v>Opere_Difesa_SuoloODS_TOT_puntiscoronamento</v>
      </c>
      <c r="K489">
        <f>_xlfn.XLOOKUP(Tabella1[[#This Row],[Concatenato]],'Original data'!D:D,'Original data'!E:E)</f>
        <v>15</v>
      </c>
      <c r="L489" t="s">
        <v>615</v>
      </c>
    </row>
    <row r="490" spans="2:12" x14ac:dyDescent="0.3">
      <c r="B490" t="s">
        <v>592</v>
      </c>
      <c r="C490" t="s">
        <v>443</v>
      </c>
      <c r="D490" t="s">
        <v>586</v>
      </c>
      <c r="E490" t="str">
        <f>IF(Tabella1[[#This Row],[Data type]]= "GEOMORPHOLOGICAL DATA", "G", "N")</f>
        <v>G</v>
      </c>
      <c r="F490" t="s">
        <v>634</v>
      </c>
      <c r="G490" t="s">
        <v>357</v>
      </c>
      <c r="J490" t="str">
        <f t="shared" si="7"/>
        <v>Opere_Difesa_SuoloODS_TOT_puntiterra armata/rinforzata</v>
      </c>
      <c r="K490">
        <f>_xlfn.XLOOKUP(Tabella1[[#This Row],[Concatenato]],'Original data'!D:D,'Original data'!E:E)</f>
        <v>15</v>
      </c>
      <c r="L490" t="s">
        <v>615</v>
      </c>
    </row>
    <row r="491" spans="2:12" x14ac:dyDescent="0.3">
      <c r="B491" s="5" t="s">
        <v>593</v>
      </c>
      <c r="C491" t="s">
        <v>248</v>
      </c>
      <c r="D491" t="s">
        <v>589</v>
      </c>
      <c r="E491" t="str">
        <f>IF(Tabella1[[#This Row],[Data type]]= "GEOMORPHOLOGICAL DATA", "G", "N")</f>
        <v>N</v>
      </c>
      <c r="G491" t="s">
        <v>209</v>
      </c>
      <c r="J491" t="str">
        <f t="shared" si="7"/>
        <v>altri_datiWIZ_U32WG_VS_SIT_GEO_250Kandesiti</v>
      </c>
      <c r="K491">
        <f>_xlfn.XLOOKUP(Tabella1[[#This Row],[Concatenato]],'Original data'!D:D,'Original data'!E:E)</f>
        <v>14</v>
      </c>
      <c r="L491" t="s">
        <v>630</v>
      </c>
    </row>
    <row r="492" spans="2:12" x14ac:dyDescent="0.3">
      <c r="B492" s="5" t="s">
        <v>593</v>
      </c>
      <c r="C492" t="s">
        <v>248</v>
      </c>
      <c r="D492" t="s">
        <v>589</v>
      </c>
      <c r="E492" t="str">
        <f>IF(Tabella1[[#This Row],[Data type]]= "GEOMORPHOLOGICAL DATA", "G", "N")</f>
        <v>N</v>
      </c>
      <c r="G492" t="s">
        <v>223</v>
      </c>
      <c r="J492" t="str">
        <f t="shared" si="7"/>
        <v>altri_datiWIZ_U32WG_VS_SIT_GEO_250Karenarie, marne, conglomerati</v>
      </c>
      <c r="K492">
        <f>_xlfn.XLOOKUP(Tabella1[[#This Row],[Concatenato]],'Original data'!D:D,'Original data'!E:E)</f>
        <v>14</v>
      </c>
      <c r="L492" t="s">
        <v>630</v>
      </c>
    </row>
    <row r="493" spans="2:12" x14ac:dyDescent="0.3">
      <c r="B493" s="5" t="s">
        <v>593</v>
      </c>
      <c r="C493" t="s">
        <v>248</v>
      </c>
      <c r="D493" t="s">
        <v>589</v>
      </c>
      <c r="E493" t="str">
        <f>IF(Tabella1[[#This Row],[Data type]]= "GEOMORPHOLOGICAL DATA", "G", "N")</f>
        <v>N</v>
      </c>
      <c r="G493" t="s">
        <v>239</v>
      </c>
      <c r="J493" t="str">
        <f t="shared" si="7"/>
        <v>altri_datiWIZ_U32WG_VS_SIT_GEO_250Kmarne gessifere, gessi, calcari, argille</v>
      </c>
      <c r="K493">
        <f>_xlfn.XLOOKUP(Tabella1[[#This Row],[Concatenato]],'Original data'!D:D,'Original data'!E:E)</f>
        <v>14</v>
      </c>
      <c r="L493" t="s">
        <v>630</v>
      </c>
    </row>
    <row r="494" spans="2:12" x14ac:dyDescent="0.3">
      <c r="B494" t="s">
        <v>592</v>
      </c>
      <c r="C494" t="s">
        <v>425</v>
      </c>
      <c r="D494" t="s">
        <v>586</v>
      </c>
      <c r="E494" t="str">
        <f>IF(Tabella1[[#This Row],[Data type]]= "GEOMORPHOLOGICAL DATA", "G", "N")</f>
        <v>G</v>
      </c>
      <c r="F494" t="s">
        <v>634</v>
      </c>
      <c r="G494" t="s">
        <v>338</v>
      </c>
      <c r="J494" t="str">
        <f t="shared" si="7"/>
        <v>Opere_Difesa_SuoloODS_TOT_areeterrazzamento/gradonatura</v>
      </c>
      <c r="K494">
        <f>_xlfn.XLOOKUP(Tabella1[[#This Row],[Concatenato]],'Original data'!D:D,'Original data'!E:E)</f>
        <v>15</v>
      </c>
      <c r="L494" t="s">
        <v>615</v>
      </c>
    </row>
    <row r="495" spans="2:12" x14ac:dyDescent="0.3">
      <c r="B495" t="s">
        <v>592</v>
      </c>
      <c r="C495" t="s">
        <v>425</v>
      </c>
      <c r="D495" t="s">
        <v>586</v>
      </c>
      <c r="E495" t="str">
        <f>IF(Tabella1[[#This Row],[Data type]]= "GEOMORPHOLOGICAL DATA", "G", "N")</f>
        <v>G</v>
      </c>
      <c r="F495" t="s">
        <v>634</v>
      </c>
      <c r="G495" t="s">
        <v>392</v>
      </c>
      <c r="J495" t="str">
        <f t="shared" si="7"/>
        <v>Opere_Difesa_SuoloODS_TOT_areetrincea drenante</v>
      </c>
      <c r="K495">
        <f>_xlfn.XLOOKUP(Tabella1[[#This Row],[Concatenato]],'Original data'!D:D,'Original data'!E:E)</f>
        <v>15</v>
      </c>
      <c r="L495" t="s">
        <v>615</v>
      </c>
    </row>
    <row r="496" spans="2:12" x14ac:dyDescent="0.3">
      <c r="B496" s="5" t="s">
        <v>593</v>
      </c>
      <c r="C496" t="s">
        <v>248</v>
      </c>
      <c r="D496" t="s">
        <v>589</v>
      </c>
      <c r="E496" t="str">
        <f>IF(Tabella1[[#This Row],[Data type]]= "GEOMORPHOLOGICAL DATA", "G", "N")</f>
        <v>N</v>
      </c>
      <c r="G496" t="s">
        <v>174</v>
      </c>
      <c r="J496" t="str">
        <f t="shared" si="7"/>
        <v>altri_datiWIZ_U32WG_VS_SIT_GEO_250Kmetabasalti oceanici talora con pillow</v>
      </c>
      <c r="K496">
        <f>_xlfn.XLOOKUP(Tabella1[[#This Row],[Concatenato]],'Original data'!D:D,'Original data'!E:E)</f>
        <v>13</v>
      </c>
      <c r="L496" t="s">
        <v>630</v>
      </c>
    </row>
    <row r="497" spans="2:28" x14ac:dyDescent="0.3">
      <c r="B497" s="5" t="s">
        <v>593</v>
      </c>
      <c r="C497" t="s">
        <v>248</v>
      </c>
      <c r="D497" t="s">
        <v>589</v>
      </c>
      <c r="E497" t="str">
        <f>IF(Tabella1[[#This Row],[Data type]]= "GEOMORPHOLOGICAL DATA", "G", "N")</f>
        <v>N</v>
      </c>
      <c r="G497" t="s">
        <v>191</v>
      </c>
      <c r="J497" t="str">
        <f t="shared" si="7"/>
        <v>altri_datiWIZ_U32WG_VS_SIT_GEO_250Kquarziti in masse</v>
      </c>
      <c r="K497">
        <f>_xlfn.XLOOKUP(Tabella1[[#This Row],[Concatenato]],'Original data'!D:D,'Original data'!E:E)</f>
        <v>13</v>
      </c>
      <c r="L497" t="s">
        <v>630</v>
      </c>
    </row>
    <row r="498" spans="2:28" x14ac:dyDescent="0.3">
      <c r="B498" t="s">
        <v>592</v>
      </c>
      <c r="C498" t="s">
        <v>443</v>
      </c>
      <c r="D498" t="s">
        <v>586</v>
      </c>
      <c r="E498" t="str">
        <f>IF(Tabella1[[#This Row],[Data type]]= "GEOMORPHOLOGICAL DATA", "G", "N")</f>
        <v>G</v>
      </c>
      <c r="F498" t="s">
        <v>634</v>
      </c>
      <c r="G498" t="s">
        <v>435</v>
      </c>
      <c r="J498" t="str">
        <f t="shared" si="7"/>
        <v>Opere_Difesa_SuoloODS_TOT_puntibarriera rigida</v>
      </c>
      <c r="K498">
        <f>_xlfn.XLOOKUP(Tabella1[[#This Row],[Concatenato]],'Original data'!D:D,'Original data'!E:E)</f>
        <v>13</v>
      </c>
      <c r="L498" t="s">
        <v>615</v>
      </c>
      <c r="AB498" s="6"/>
    </row>
    <row r="499" spans="2:28" x14ac:dyDescent="0.3">
      <c r="B499" s="5" t="s">
        <v>593</v>
      </c>
      <c r="C499" t="s">
        <v>248</v>
      </c>
      <c r="D499" t="s">
        <v>589</v>
      </c>
      <c r="E499" t="str">
        <f>IF(Tabella1[[#This Row],[Data type]]= "GEOMORPHOLOGICAL DATA", "G", "N")</f>
        <v>N</v>
      </c>
      <c r="G499" t="s">
        <v>241</v>
      </c>
      <c r="J499" t="str">
        <f t="shared" si="7"/>
        <v>altri_datiWIZ_U32WG_VS_SIT_GEO_250Kalternanze di  calcari marnosi, marne, arenarie, argille</v>
      </c>
      <c r="K499">
        <f>_xlfn.XLOOKUP(Tabella1[[#This Row],[Concatenato]],'Original data'!D:D,'Original data'!E:E)</f>
        <v>12</v>
      </c>
      <c r="L499" t="s">
        <v>630</v>
      </c>
    </row>
    <row r="500" spans="2:28" x14ac:dyDescent="0.3">
      <c r="B500" s="5" t="s">
        <v>593</v>
      </c>
      <c r="C500" t="s">
        <v>248</v>
      </c>
      <c r="D500" t="s">
        <v>589</v>
      </c>
      <c r="E500" t="str">
        <f>IF(Tabella1[[#This Row],[Data type]]= "GEOMORPHOLOGICAL DATA", "G", "N")</f>
        <v>N</v>
      </c>
      <c r="G500" t="s">
        <v>208</v>
      </c>
      <c r="J500" t="str">
        <f t="shared" si="7"/>
        <v>altri_datiWIZ_U32WG_VS_SIT_GEO_250Kargilliti / calcari</v>
      </c>
      <c r="K500">
        <f>_xlfn.XLOOKUP(Tabella1[[#This Row],[Concatenato]],'Original data'!D:D,'Original data'!E:E)</f>
        <v>12</v>
      </c>
      <c r="L500" t="s">
        <v>630</v>
      </c>
    </row>
    <row r="501" spans="2:28" x14ac:dyDescent="0.3">
      <c r="B501" s="5" t="s">
        <v>593</v>
      </c>
      <c r="C501" t="s">
        <v>248</v>
      </c>
      <c r="D501" t="s">
        <v>589</v>
      </c>
      <c r="E501" t="str">
        <f>IF(Tabella1[[#This Row],[Data type]]= "GEOMORPHOLOGICAL DATA", "G", "N")</f>
        <v>N</v>
      </c>
      <c r="G501" t="s">
        <v>230</v>
      </c>
      <c r="J501" t="str">
        <f t="shared" si="7"/>
        <v>altri_datiWIZ_U32WG_VS_SIT_GEO_250Kcalcari marne / marne</v>
      </c>
      <c r="K501">
        <f>_xlfn.XLOOKUP(Tabella1[[#This Row],[Concatenato]],'Original data'!D:D,'Original data'!E:E)</f>
        <v>12</v>
      </c>
      <c r="L501" t="s">
        <v>630</v>
      </c>
    </row>
    <row r="502" spans="2:28" x14ac:dyDescent="0.3">
      <c r="B502" t="s">
        <v>592</v>
      </c>
      <c r="C502" t="s">
        <v>425</v>
      </c>
      <c r="D502" t="s">
        <v>586</v>
      </c>
      <c r="E502" t="str">
        <f>IF(Tabella1[[#This Row],[Data type]]= "GEOMORPHOLOGICAL DATA", "G", "N")</f>
        <v>G</v>
      </c>
      <c r="F502" t="s">
        <v>634</v>
      </c>
      <c r="G502" t="s">
        <v>398</v>
      </c>
      <c r="J502" t="str">
        <f t="shared" si="7"/>
        <v>Opere_Difesa_SuoloODS_TOT_areecordonata</v>
      </c>
      <c r="K502">
        <f>_xlfn.XLOOKUP(Tabella1[[#This Row],[Concatenato]],'Original data'!D:D,'Original data'!E:E)</f>
        <v>13</v>
      </c>
      <c r="L502" t="s">
        <v>615</v>
      </c>
    </row>
    <row r="503" spans="2:28" x14ac:dyDescent="0.3">
      <c r="B503" s="5" t="s">
        <v>593</v>
      </c>
      <c r="C503" t="s">
        <v>248</v>
      </c>
      <c r="D503" t="s">
        <v>589</v>
      </c>
      <c r="E503" t="str">
        <f>IF(Tabella1[[#This Row],[Data type]]= "GEOMORPHOLOGICAL DATA", "G", "N")</f>
        <v>N</v>
      </c>
      <c r="G503" t="s">
        <v>183</v>
      </c>
      <c r="J503" t="str">
        <f t="shared" si="7"/>
        <v>altri_datiWIZ_U32WG_VS_SIT_GEO_250Kconglomerati e arenarie talora con porfidi alla base</v>
      </c>
      <c r="K503">
        <f>_xlfn.XLOOKUP(Tabella1[[#This Row],[Concatenato]],'Original data'!D:D,'Original data'!E:E)</f>
        <v>12</v>
      </c>
      <c r="L503" t="s">
        <v>630</v>
      </c>
    </row>
    <row r="504" spans="2:28" x14ac:dyDescent="0.3">
      <c r="B504" t="s">
        <v>592</v>
      </c>
      <c r="C504" t="s">
        <v>425</v>
      </c>
      <c r="D504" t="s">
        <v>586</v>
      </c>
      <c r="E504" t="str">
        <f>IF(Tabella1[[#This Row],[Data type]]= "GEOMORPHOLOGICAL DATA", "G", "N")</f>
        <v>G</v>
      </c>
      <c r="F504" t="s">
        <v>634</v>
      </c>
      <c r="G504" t="s">
        <v>386</v>
      </c>
      <c r="J504" t="str">
        <f t="shared" si="7"/>
        <v>Opere_Difesa_SuoloODS_TOT_areerete da neve</v>
      </c>
      <c r="K504">
        <f>_xlfn.XLOOKUP(Tabella1[[#This Row],[Concatenato]],'Original data'!D:D,'Original data'!E:E)</f>
        <v>13</v>
      </c>
      <c r="L504" t="s">
        <v>615</v>
      </c>
    </row>
    <row r="505" spans="2:28" x14ac:dyDescent="0.3">
      <c r="B505" t="s">
        <v>592</v>
      </c>
      <c r="C505" t="s">
        <v>425</v>
      </c>
      <c r="D505" t="s">
        <v>586</v>
      </c>
      <c r="E505" t="str">
        <f>IF(Tabella1[[#This Row],[Data type]]= "GEOMORPHOLOGICAL DATA", "G", "N")</f>
        <v>G</v>
      </c>
      <c r="F505" t="s">
        <v>634</v>
      </c>
      <c r="G505" t="s">
        <v>366</v>
      </c>
      <c r="J505" t="str">
        <f t="shared" si="7"/>
        <v>Opere_Difesa_SuoloODS_TOT_areedrenaggio superficiale</v>
      </c>
      <c r="K505">
        <f>_xlfn.XLOOKUP(Tabella1[[#This Row],[Concatenato]],'Original data'!D:D,'Original data'!E:E)</f>
        <v>12</v>
      </c>
      <c r="L505" t="s">
        <v>615</v>
      </c>
    </row>
    <row r="506" spans="2:28" x14ac:dyDescent="0.3">
      <c r="B506" s="5" t="s">
        <v>593</v>
      </c>
      <c r="C506" t="s">
        <v>248</v>
      </c>
      <c r="D506" t="s">
        <v>589</v>
      </c>
      <c r="E506" t="str">
        <f>IF(Tabella1[[#This Row],[Data type]]= "GEOMORPHOLOGICAL DATA", "G", "N")</f>
        <v>N</v>
      </c>
      <c r="G506" t="s">
        <v>199</v>
      </c>
      <c r="J506" t="str">
        <f t="shared" si="7"/>
        <v>altri_datiWIZ_U32WG_VS_SIT_GEO_250Kmicascisti prevalenti</v>
      </c>
      <c r="K506">
        <f>_xlfn.XLOOKUP(Tabella1[[#This Row],[Concatenato]],'Original data'!D:D,'Original data'!E:E)</f>
        <v>12</v>
      </c>
      <c r="L506" t="s">
        <v>630</v>
      </c>
    </row>
    <row r="507" spans="2:28" x14ac:dyDescent="0.3">
      <c r="B507" t="s">
        <v>592</v>
      </c>
      <c r="C507" t="s">
        <v>443</v>
      </c>
      <c r="D507" t="s">
        <v>586</v>
      </c>
      <c r="E507" t="str">
        <f>IF(Tabella1[[#This Row],[Data type]]= "GEOMORPHOLOGICAL DATA", "G", "N")</f>
        <v>G</v>
      </c>
      <c r="F507" t="s">
        <v>634</v>
      </c>
      <c r="G507" t="s">
        <v>384</v>
      </c>
      <c r="J507" t="str">
        <f t="shared" si="7"/>
        <v>Opere_Difesa_SuoloODS_TOT_puntidreni sub-orizzontali</v>
      </c>
      <c r="K507">
        <f>_xlfn.XLOOKUP(Tabella1[[#This Row],[Concatenato]],'Original data'!D:D,'Original data'!E:E)</f>
        <v>12</v>
      </c>
      <c r="L507" t="s">
        <v>615</v>
      </c>
    </row>
    <row r="508" spans="2:28" x14ac:dyDescent="0.3">
      <c r="B508" t="s">
        <v>592</v>
      </c>
      <c r="C508" t="s">
        <v>425</v>
      </c>
      <c r="D508" t="s">
        <v>588</v>
      </c>
      <c r="E508" t="str">
        <f>IF(Tabella1[[#This Row],[Data type]]= "GEOMORPHOLOGICAL DATA", "G", "N")</f>
        <v>N</v>
      </c>
      <c r="G508" t="s">
        <v>388</v>
      </c>
      <c r="J508" t="str">
        <f t="shared" si="7"/>
        <v>Opere_Difesa_SuoloODS_TOT_areeponte</v>
      </c>
      <c r="K508">
        <f>_xlfn.XLOOKUP(Tabella1[[#This Row],[Concatenato]],'Original data'!D:D,'Original data'!E:E)</f>
        <v>12</v>
      </c>
      <c r="L508" t="s">
        <v>630</v>
      </c>
    </row>
    <row r="509" spans="2:28" x14ac:dyDescent="0.3">
      <c r="B509" t="s">
        <v>592</v>
      </c>
      <c r="C509" t="s">
        <v>443</v>
      </c>
      <c r="D509" t="s">
        <v>586</v>
      </c>
      <c r="E509" t="str">
        <f>IF(Tabella1[[#This Row],[Data type]]= "GEOMORPHOLOGICAL DATA", "G", "N")</f>
        <v>G</v>
      </c>
      <c r="F509" t="s">
        <v>634</v>
      </c>
      <c r="G509" t="s">
        <v>411</v>
      </c>
      <c r="J509" t="str">
        <f t="shared" si="7"/>
        <v>Opere_Difesa_SuoloODS_TOT_puntiiniezione/jet grouting</v>
      </c>
      <c r="K509">
        <f>_xlfn.XLOOKUP(Tabella1[[#This Row],[Concatenato]],'Original data'!D:D,'Original data'!E:E)</f>
        <v>12</v>
      </c>
      <c r="L509" t="s">
        <v>615</v>
      </c>
    </row>
    <row r="510" spans="2:28" x14ac:dyDescent="0.3">
      <c r="B510" t="s">
        <v>592</v>
      </c>
      <c r="C510" t="s">
        <v>425</v>
      </c>
      <c r="D510" t="s">
        <v>586</v>
      </c>
      <c r="E510" t="str">
        <f>IF(Tabella1[[#This Row],[Data type]]= "GEOMORPHOLOGICAL DATA", "G", "N")</f>
        <v>G</v>
      </c>
      <c r="F510" t="s">
        <v>634</v>
      </c>
      <c r="G510" t="s">
        <v>422</v>
      </c>
      <c r="J510" t="str">
        <f t="shared" si="7"/>
        <v>Opere_Difesa_SuoloODS_TOT_areerete elastoplastica</v>
      </c>
      <c r="K510">
        <f>_xlfn.XLOOKUP(Tabella1[[#This Row],[Concatenato]],'Original data'!D:D,'Original data'!E:E)</f>
        <v>12</v>
      </c>
      <c r="L510" t="s">
        <v>615</v>
      </c>
    </row>
    <row r="511" spans="2:28" x14ac:dyDescent="0.3">
      <c r="B511" t="s">
        <v>592</v>
      </c>
      <c r="C511" t="s">
        <v>443</v>
      </c>
      <c r="D511" t="s">
        <v>586</v>
      </c>
      <c r="E511" t="str">
        <f>IF(Tabella1[[#This Row],[Data type]]= "GEOMORPHOLOGICAL DATA", "G", "N")</f>
        <v>G</v>
      </c>
      <c r="F511" t="s">
        <v>634</v>
      </c>
      <c r="G511" t="s">
        <v>372</v>
      </c>
      <c r="J511" t="str">
        <f t="shared" si="7"/>
        <v>Opere_Difesa_SuoloODS_TOT_puntirivestimento antierosivo sintetico</v>
      </c>
      <c r="K511">
        <f>_xlfn.XLOOKUP(Tabella1[[#This Row],[Concatenato]],'Original data'!D:D,'Original data'!E:E)</f>
        <v>12</v>
      </c>
      <c r="L511" t="s">
        <v>615</v>
      </c>
    </row>
    <row r="512" spans="2:28" x14ac:dyDescent="0.3">
      <c r="B512" t="s">
        <v>592</v>
      </c>
      <c r="C512" t="s">
        <v>426</v>
      </c>
      <c r="D512" t="s">
        <v>587</v>
      </c>
      <c r="E512" t="str">
        <f>IF(Tabella1[[#This Row],[Data type]]= "GEOMORPHOLOGICAL DATA", "G", "N")</f>
        <v>N</v>
      </c>
      <c r="G512" t="s">
        <v>381</v>
      </c>
      <c r="J512" t="str">
        <f t="shared" si="7"/>
        <v>Opere_Difesa_SuoloODS_TOT_lineedemolizione</v>
      </c>
      <c r="K512">
        <f>_xlfn.XLOOKUP(Tabella1[[#This Row],[Concatenato]],'Original data'!D:D,'Original data'!E:E)</f>
        <v>11</v>
      </c>
      <c r="L512" t="s">
        <v>630</v>
      </c>
    </row>
    <row r="513" spans="2:28" x14ac:dyDescent="0.3">
      <c r="B513" t="s">
        <v>592</v>
      </c>
      <c r="C513" t="s">
        <v>426</v>
      </c>
      <c r="D513" t="s">
        <v>586</v>
      </c>
      <c r="E513" t="str">
        <f>IF(Tabella1[[#This Row],[Data type]]= "GEOMORPHOLOGICAL DATA", "G", "N")</f>
        <v>G</v>
      </c>
      <c r="F513" t="s">
        <v>634</v>
      </c>
      <c r="G513" t="s">
        <v>390</v>
      </c>
      <c r="J513" t="str">
        <f t="shared" si="7"/>
        <v>Opere_Difesa_SuoloODS_TOT_lineebarriera a funi parallele</v>
      </c>
      <c r="K513">
        <f>_xlfn.XLOOKUP(Tabella1[[#This Row],[Concatenato]],'Original data'!D:D,'Original data'!E:E)</f>
        <v>11</v>
      </c>
      <c r="L513" t="s">
        <v>615</v>
      </c>
    </row>
    <row r="514" spans="2:28" x14ac:dyDescent="0.3">
      <c r="B514" t="s">
        <v>592</v>
      </c>
      <c r="C514" t="s">
        <v>443</v>
      </c>
      <c r="D514" t="s">
        <v>588</v>
      </c>
      <c r="E514" t="str">
        <f>IF(Tabella1[[#This Row],[Data type]]= "GEOMORPHOLOGICAL DATA", "G", "N")</f>
        <v>N</v>
      </c>
      <c r="G514" t="s">
        <v>427</v>
      </c>
      <c r="J514" t="str">
        <f t="shared" ref="J514:J577" si="8">_xlfn.CONCAT(B514,C514,G514)</f>
        <v>Opere_Difesa_SuoloODS_TOT_puntiidrometro</v>
      </c>
      <c r="K514">
        <f>_xlfn.XLOOKUP(Tabella1[[#This Row],[Concatenato]],'Original data'!D:D,'Original data'!E:E)</f>
        <v>10</v>
      </c>
      <c r="L514" t="s">
        <v>630</v>
      </c>
      <c r="AB514" s="6"/>
    </row>
    <row r="515" spans="2:28" x14ac:dyDescent="0.3">
      <c r="B515" s="5" t="s">
        <v>593</v>
      </c>
      <c r="C515" t="s">
        <v>248</v>
      </c>
      <c r="D515" t="s">
        <v>589</v>
      </c>
      <c r="E515" t="str">
        <f>IF(Tabella1[[#This Row],[Data type]]= "GEOMORPHOLOGICAL DATA", "G", "N")</f>
        <v>N</v>
      </c>
      <c r="G515" t="s">
        <v>180</v>
      </c>
      <c r="J515" t="str">
        <f t="shared" si="8"/>
        <v>altri_datiWIZ_U32WG_VS_SIT_GEO_250Kperidotiti talora serpentinizzate</v>
      </c>
      <c r="K515">
        <f>_xlfn.XLOOKUP(Tabella1[[#This Row],[Concatenato]],'Original data'!D:D,'Original data'!E:E)</f>
        <v>10</v>
      </c>
      <c r="L515" t="s">
        <v>630</v>
      </c>
      <c r="AB515" s="6"/>
    </row>
    <row r="516" spans="2:28" x14ac:dyDescent="0.3">
      <c r="B516" t="s">
        <v>592</v>
      </c>
      <c r="C516" t="s">
        <v>443</v>
      </c>
      <c r="D516" t="s">
        <v>588</v>
      </c>
      <c r="E516" t="str">
        <f>IF(Tabella1[[#This Row],[Data type]]= "GEOMORPHOLOGICAL DATA", "G", "N")</f>
        <v>N</v>
      </c>
      <c r="G516" t="s">
        <v>430</v>
      </c>
      <c r="J516" t="str">
        <f t="shared" si="8"/>
        <v>Opere_Difesa_SuoloODS_TOT_puntipluvionivometro</v>
      </c>
      <c r="K516">
        <f>_xlfn.XLOOKUP(Tabella1[[#This Row],[Concatenato]],'Original data'!D:D,'Original data'!E:E)</f>
        <v>10</v>
      </c>
      <c r="L516" t="s">
        <v>630</v>
      </c>
      <c r="AB516" s="6"/>
    </row>
    <row r="517" spans="2:28" x14ac:dyDescent="0.3">
      <c r="B517" t="s">
        <v>592</v>
      </c>
      <c r="C517" t="s">
        <v>443</v>
      </c>
      <c r="D517" t="s">
        <v>588</v>
      </c>
      <c r="E517" t="str">
        <f>IF(Tabella1[[#This Row],[Data type]]= "GEOMORPHOLOGICAL DATA", "G", "N")</f>
        <v>N</v>
      </c>
      <c r="G517" t="s">
        <v>389</v>
      </c>
      <c r="J517" t="str">
        <f t="shared" si="8"/>
        <v>Opere_Difesa_SuoloODS_TOT_puntiancoraggio/tiranti</v>
      </c>
      <c r="K517">
        <f>_xlfn.XLOOKUP(Tabella1[[#This Row],[Concatenato]],'Original data'!D:D,'Original data'!E:E)</f>
        <v>9</v>
      </c>
      <c r="L517" t="s">
        <v>630</v>
      </c>
      <c r="AB517" s="6"/>
    </row>
    <row r="518" spans="2:28" x14ac:dyDescent="0.3">
      <c r="B518" t="s">
        <v>592</v>
      </c>
      <c r="C518" t="s">
        <v>425</v>
      </c>
      <c r="D518" t="s">
        <v>586</v>
      </c>
      <c r="E518" t="str">
        <f>IF(Tabella1[[#This Row],[Data type]]= "GEOMORPHOLOGICAL DATA", "G", "N")</f>
        <v>G</v>
      </c>
      <c r="F518" t="s">
        <v>634</v>
      </c>
      <c r="G518" t="s">
        <v>387</v>
      </c>
      <c r="J518" t="str">
        <f t="shared" si="8"/>
        <v>Opere_Difesa_SuoloODS_TOT_areefrangivento</v>
      </c>
      <c r="K518">
        <f>_xlfn.XLOOKUP(Tabella1[[#This Row],[Concatenato]],'Original data'!D:D,'Original data'!E:E)</f>
        <v>11</v>
      </c>
      <c r="L518" t="s">
        <v>615</v>
      </c>
      <c r="AB518" s="6"/>
    </row>
    <row r="519" spans="2:28" x14ac:dyDescent="0.3">
      <c r="B519" s="5" t="s">
        <v>593</v>
      </c>
      <c r="C519" t="s">
        <v>248</v>
      </c>
      <c r="D519" t="s">
        <v>589</v>
      </c>
      <c r="E519" t="str">
        <f>IF(Tabella1[[#This Row],[Data type]]= "GEOMORPHOLOGICAL DATA", "G", "N")</f>
        <v>N</v>
      </c>
      <c r="G519" t="s">
        <v>234</v>
      </c>
      <c r="J519" t="str">
        <f t="shared" si="8"/>
        <v>altri_datiWIZ_U32WG_VS_SIT_GEO_250KFmz. di Val Luretta</v>
      </c>
      <c r="K519">
        <f>_xlfn.XLOOKUP(Tabella1[[#This Row],[Concatenato]],'Original data'!D:D,'Original data'!E:E)</f>
        <v>9</v>
      </c>
      <c r="L519" t="s">
        <v>630</v>
      </c>
      <c r="AB519" s="6"/>
    </row>
    <row r="520" spans="2:28" x14ac:dyDescent="0.3">
      <c r="B520" t="s">
        <v>592</v>
      </c>
      <c r="C520" t="s">
        <v>443</v>
      </c>
      <c r="D520" t="s">
        <v>586</v>
      </c>
      <c r="E520" t="str">
        <f>IF(Tabella1[[#This Row],[Data type]]= "GEOMORPHOLOGICAL DATA", "G", "N")</f>
        <v>G</v>
      </c>
      <c r="F520" t="s">
        <v>634</v>
      </c>
      <c r="G520" t="s">
        <v>442</v>
      </c>
      <c r="J520" t="str">
        <f t="shared" si="8"/>
        <v>Opere_Difesa_SuoloODS_TOT_puntiparatia di sostegno</v>
      </c>
      <c r="K520">
        <f>_xlfn.XLOOKUP(Tabella1[[#This Row],[Concatenato]],'Original data'!D:D,'Original data'!E:E)</f>
        <v>11</v>
      </c>
      <c r="L520" t="s">
        <v>615</v>
      </c>
    </row>
    <row r="521" spans="2:28" x14ac:dyDescent="0.3">
      <c r="B521" t="s">
        <v>592</v>
      </c>
      <c r="C521" t="s">
        <v>443</v>
      </c>
      <c r="D521" t="s">
        <v>586</v>
      </c>
      <c r="E521" t="str">
        <f>IF(Tabella1[[#This Row],[Data type]]= "GEOMORPHOLOGICAL DATA", "G", "N")</f>
        <v>G</v>
      </c>
      <c r="F521" t="s">
        <v>634</v>
      </c>
      <c r="G521" t="s">
        <v>436</v>
      </c>
      <c r="J521" t="str">
        <f t="shared" si="8"/>
        <v>Opere_Difesa_SuoloODS_TOT_puntibarriera elastoplastica</v>
      </c>
      <c r="K521">
        <f>_xlfn.XLOOKUP(Tabella1[[#This Row],[Concatenato]],'Original data'!D:D,'Original data'!E:E)</f>
        <v>9</v>
      </c>
      <c r="L521" t="s">
        <v>615</v>
      </c>
    </row>
    <row r="522" spans="2:28" x14ac:dyDescent="0.3">
      <c r="B522" t="s">
        <v>592</v>
      </c>
      <c r="C522" t="s">
        <v>446</v>
      </c>
      <c r="D522" t="s">
        <v>586</v>
      </c>
      <c r="E522" t="str">
        <f>IF(Tabella1[[#This Row],[Data type]]= "GEOMORPHOLOGICAL DATA", "G", "N")</f>
        <v>G</v>
      </c>
      <c r="F522" t="s">
        <v>634</v>
      </c>
      <c r="G522" t="s">
        <v>371</v>
      </c>
      <c r="J522" t="str">
        <f t="shared" si="8"/>
        <v>Opere_Difesa_SuoloOPERE_FIUMI_PLgabbionata</v>
      </c>
      <c r="K522">
        <f>_xlfn.XLOOKUP(Tabella1[[#This Row],[Concatenato]],'Original data'!D:D,'Original data'!E:E)</f>
        <v>9</v>
      </c>
      <c r="L522" t="s">
        <v>615</v>
      </c>
    </row>
    <row r="523" spans="2:28" x14ac:dyDescent="0.3">
      <c r="B523" t="s">
        <v>592</v>
      </c>
      <c r="C523" t="s">
        <v>426</v>
      </c>
      <c r="D523" t="s">
        <v>586</v>
      </c>
      <c r="E523" t="str">
        <f>IF(Tabella1[[#This Row],[Data type]]= "GEOMORPHOLOGICAL DATA", "G", "N")</f>
        <v>G</v>
      </c>
      <c r="F523" t="s">
        <v>634</v>
      </c>
      <c r="G523" t="s">
        <v>439</v>
      </c>
      <c r="J523" t="str">
        <f t="shared" si="8"/>
        <v>Opere_Difesa_SuoloODS_TOT_lineeparatia</v>
      </c>
      <c r="K523">
        <f>_xlfn.XLOOKUP(Tabella1[[#This Row],[Concatenato]],'Original data'!D:D,'Original data'!E:E)</f>
        <v>9</v>
      </c>
      <c r="L523" t="s">
        <v>615</v>
      </c>
    </row>
    <row r="524" spans="2:28" x14ac:dyDescent="0.3">
      <c r="B524" t="s">
        <v>592</v>
      </c>
      <c r="C524" t="s">
        <v>425</v>
      </c>
      <c r="D524" t="s">
        <v>586</v>
      </c>
      <c r="E524" t="str">
        <f>IF(Tabella1[[#This Row],[Data type]]= "GEOMORPHOLOGICAL DATA", "G", "N")</f>
        <v>G</v>
      </c>
      <c r="F524" t="s">
        <v>634</v>
      </c>
      <c r="G524" t="s">
        <v>406</v>
      </c>
      <c r="J524" t="str">
        <f t="shared" si="8"/>
        <v>Opere_Difesa_SuoloODS_TOT_areerastrelliera</v>
      </c>
      <c r="K524">
        <f>_xlfn.XLOOKUP(Tabella1[[#This Row],[Concatenato]],'Original data'!D:D,'Original data'!E:E)</f>
        <v>9</v>
      </c>
      <c r="L524" t="s">
        <v>615</v>
      </c>
    </row>
    <row r="525" spans="2:28" x14ac:dyDescent="0.3">
      <c r="B525" t="s">
        <v>592</v>
      </c>
      <c r="C525" t="s">
        <v>443</v>
      </c>
      <c r="D525" t="s">
        <v>586</v>
      </c>
      <c r="E525" t="str">
        <f>IF(Tabella1[[#This Row],[Data type]]= "GEOMORPHOLOGICAL DATA", "G", "N")</f>
        <v>G</v>
      </c>
      <c r="F525" t="s">
        <v>634</v>
      </c>
      <c r="G525" t="s">
        <v>400</v>
      </c>
      <c r="J525" t="str">
        <f t="shared" si="8"/>
        <v>Opere_Difesa_SuoloODS_TOT_puntireticolo micropali</v>
      </c>
      <c r="K525">
        <f>_xlfn.XLOOKUP(Tabella1[[#This Row],[Concatenato]],'Original data'!D:D,'Original data'!E:E)</f>
        <v>9</v>
      </c>
      <c r="L525" t="s">
        <v>615</v>
      </c>
    </row>
    <row r="526" spans="2:28" x14ac:dyDescent="0.3">
      <c r="B526" s="5" t="s">
        <v>593</v>
      </c>
      <c r="C526" t="s">
        <v>248</v>
      </c>
      <c r="D526" t="s">
        <v>589</v>
      </c>
      <c r="E526" t="str">
        <f>IF(Tabella1[[#This Row],[Data type]]= "GEOMORPHOLOGICAL DATA", "G", "N")</f>
        <v>N</v>
      </c>
      <c r="G526" t="s">
        <v>229</v>
      </c>
      <c r="J526" t="str">
        <f t="shared" si="8"/>
        <v>altri_datiWIZ_U32WG_VS_SIT_GEO_250Karenarie, argille, calcari</v>
      </c>
      <c r="K526">
        <f>_xlfn.XLOOKUP(Tabella1[[#This Row],[Concatenato]],'Original data'!D:D,'Original data'!E:E)</f>
        <v>8</v>
      </c>
      <c r="L526" t="s">
        <v>630</v>
      </c>
    </row>
    <row r="527" spans="2:28" x14ac:dyDescent="0.3">
      <c r="B527" t="s">
        <v>592</v>
      </c>
      <c r="C527" t="s">
        <v>425</v>
      </c>
      <c r="D527" t="s">
        <v>586</v>
      </c>
      <c r="E527" t="str">
        <f>IF(Tabella1[[#This Row],[Data type]]= "GEOMORPHOLOGICAL DATA", "G", "N")</f>
        <v>G</v>
      </c>
      <c r="F527" t="s">
        <v>634</v>
      </c>
      <c r="G527" t="s">
        <v>351</v>
      </c>
      <c r="J527" t="str">
        <f t="shared" si="8"/>
        <v>Opere_Difesa_SuoloODS_TOT_areerilevato paramassi</v>
      </c>
      <c r="K527">
        <f>_xlfn.XLOOKUP(Tabella1[[#This Row],[Concatenato]],'Original data'!D:D,'Original data'!E:E)</f>
        <v>9</v>
      </c>
      <c r="L527" t="s">
        <v>615</v>
      </c>
    </row>
    <row r="528" spans="2:28" x14ac:dyDescent="0.3">
      <c r="B528" s="5" t="s">
        <v>593</v>
      </c>
      <c r="C528" t="s">
        <v>248</v>
      </c>
      <c r="D528" t="s">
        <v>589</v>
      </c>
      <c r="E528" t="str">
        <f>IF(Tabella1[[#This Row],[Data type]]= "GEOMORPHOLOGICAL DATA", "G", "N")</f>
        <v>N</v>
      </c>
      <c r="G528" t="s">
        <v>188</v>
      </c>
      <c r="J528" t="str">
        <f t="shared" si="8"/>
        <v>altri_datiWIZ_U32WG_VS_SIT_GEO_250Kcalcari bituminosi marne argille/calcari</v>
      </c>
      <c r="K528">
        <f>_xlfn.XLOOKUP(Tabella1[[#This Row],[Concatenato]],'Original data'!D:D,'Original data'!E:E)</f>
        <v>8</v>
      </c>
      <c r="L528" t="s">
        <v>630</v>
      </c>
    </row>
    <row r="529" spans="2:12" x14ac:dyDescent="0.3">
      <c r="B529" t="s">
        <v>592</v>
      </c>
      <c r="C529" t="s">
        <v>426</v>
      </c>
      <c r="D529" t="s">
        <v>588</v>
      </c>
      <c r="E529" t="str">
        <f>IF(Tabella1[[#This Row],[Data type]]= "GEOMORPHOLOGICAL DATA", "G", "N")</f>
        <v>N</v>
      </c>
      <c r="G529" t="s">
        <v>432</v>
      </c>
      <c r="J529" t="str">
        <f t="shared" si="8"/>
        <v>Opere_Difesa_SuoloODS_TOT_lineedistometro</v>
      </c>
      <c r="K529">
        <f>_xlfn.XLOOKUP(Tabella1[[#This Row],[Concatenato]],'Original data'!D:D,'Original data'!E:E)</f>
        <v>8</v>
      </c>
      <c r="L529" t="s">
        <v>630</v>
      </c>
    </row>
    <row r="530" spans="2:12" x14ac:dyDescent="0.3">
      <c r="B530" t="s">
        <v>592</v>
      </c>
      <c r="C530" t="s">
        <v>446</v>
      </c>
      <c r="D530" t="s">
        <v>586</v>
      </c>
      <c r="E530" t="str">
        <f>IF(Tabella1[[#This Row],[Data type]]= "GEOMORPHOLOGICAL DATA", "G", "N")</f>
        <v>G</v>
      </c>
      <c r="F530" t="s">
        <v>634</v>
      </c>
      <c r="G530" t="s">
        <v>346</v>
      </c>
      <c r="J530" t="str">
        <f t="shared" si="8"/>
        <v>Opere_Difesa_SuoloOPERE_FIUMI_PLtombotto</v>
      </c>
      <c r="K530">
        <f>_xlfn.XLOOKUP(Tabella1[[#This Row],[Concatenato]],'Original data'!D:D,'Original data'!E:E)</f>
        <v>9</v>
      </c>
      <c r="L530" t="s">
        <v>615</v>
      </c>
    </row>
    <row r="531" spans="2:12" x14ac:dyDescent="0.3">
      <c r="B531" t="s">
        <v>592</v>
      </c>
      <c r="C531" t="s">
        <v>425</v>
      </c>
      <c r="D531" t="s">
        <v>586</v>
      </c>
      <c r="E531" t="str">
        <f>IF(Tabella1[[#This Row],[Data type]]= "GEOMORPHOLOGICAL DATA", "G", "N")</f>
        <v>G</v>
      </c>
      <c r="F531" t="s">
        <v>634</v>
      </c>
      <c r="G531" t="s">
        <v>395</v>
      </c>
      <c r="J531" t="str">
        <f t="shared" si="8"/>
        <v>Opere_Difesa_SuoloODS_TOT_areebarriera</v>
      </c>
      <c r="K531">
        <f>_xlfn.XLOOKUP(Tabella1[[#This Row],[Concatenato]],'Original data'!D:D,'Original data'!E:E)</f>
        <v>8</v>
      </c>
      <c r="L531" t="s">
        <v>615</v>
      </c>
    </row>
    <row r="532" spans="2:12" x14ac:dyDescent="0.3">
      <c r="B532" t="s">
        <v>592</v>
      </c>
      <c r="C532" t="s">
        <v>443</v>
      </c>
      <c r="D532" t="s">
        <v>587</v>
      </c>
      <c r="E532" t="str">
        <f>IF(Tabella1[[#This Row],[Data type]]= "GEOMORPHOLOGICAL DATA", "G", "N")</f>
        <v>N</v>
      </c>
      <c r="G532" t="s">
        <v>377</v>
      </c>
      <c r="J532" t="str">
        <f t="shared" si="8"/>
        <v>Opere_Difesa_SuoloODS_TOT_puntipiantumazione</v>
      </c>
      <c r="K532">
        <f>_xlfn.XLOOKUP(Tabella1[[#This Row],[Concatenato]],'Original data'!D:D,'Original data'!E:E)</f>
        <v>8</v>
      </c>
      <c r="L532" t="s">
        <v>630</v>
      </c>
    </row>
    <row r="533" spans="2:12" x14ac:dyDescent="0.3">
      <c r="B533" t="s">
        <v>592</v>
      </c>
      <c r="C533" t="s">
        <v>426</v>
      </c>
      <c r="D533" t="s">
        <v>586</v>
      </c>
      <c r="E533" t="str">
        <f>IF(Tabella1[[#This Row],[Data type]]= "GEOMORPHOLOGICAL DATA", "G", "N")</f>
        <v>G</v>
      </c>
      <c r="F533" t="s">
        <v>634</v>
      </c>
      <c r="G533" t="s">
        <v>598</v>
      </c>
      <c r="J533" t="str">
        <f t="shared" si="8"/>
        <v>Opere_Difesa_SuoloODS_TOT_lineegalleria paravalanghe</v>
      </c>
      <c r="K533">
        <f>_xlfn.XLOOKUP(Tabella1[[#This Row],[Concatenato]],'Original data'!D:D,'Original data'!E:E)</f>
        <v>8</v>
      </c>
      <c r="L533" t="s">
        <v>615</v>
      </c>
    </row>
    <row r="534" spans="2:12" x14ac:dyDescent="0.3">
      <c r="B534" t="s">
        <v>592</v>
      </c>
      <c r="C534" t="s">
        <v>443</v>
      </c>
      <c r="D534" t="s">
        <v>587</v>
      </c>
      <c r="E534" t="str">
        <f>IF(Tabella1[[#This Row],[Data type]]= "GEOMORPHOLOGICAL DATA", "G", "N")</f>
        <v>N</v>
      </c>
      <c r="G534" t="s">
        <v>379</v>
      </c>
      <c r="J534" t="str">
        <f t="shared" si="8"/>
        <v>Opere_Difesa_SuoloODS_TOT_puntirivestimento antierosivo biodegradabile</v>
      </c>
      <c r="K534">
        <f>_xlfn.XLOOKUP(Tabella1[[#This Row],[Concatenato]],'Original data'!D:D,'Original data'!E:E)</f>
        <v>8</v>
      </c>
      <c r="L534" t="s">
        <v>630</v>
      </c>
    </row>
    <row r="535" spans="2:12" x14ac:dyDescent="0.3">
      <c r="B535" t="s">
        <v>592</v>
      </c>
      <c r="C535" t="s">
        <v>443</v>
      </c>
      <c r="D535" t="s">
        <v>586</v>
      </c>
      <c r="E535" t="str">
        <f>IF(Tabella1[[#This Row],[Data type]]= "GEOMORPHOLOGICAL DATA", "G", "N")</f>
        <v>G</v>
      </c>
      <c r="F535" t="s">
        <v>634</v>
      </c>
      <c r="G535" t="s">
        <v>365</v>
      </c>
      <c r="J535" t="str">
        <f t="shared" si="8"/>
        <v>Opere_Difesa_SuoloODS_TOT_puntigrata viva</v>
      </c>
      <c r="K535">
        <f>_xlfn.XLOOKUP(Tabella1[[#This Row],[Concatenato]],'Original data'!D:D,'Original data'!E:E)</f>
        <v>8</v>
      </c>
      <c r="L535" t="s">
        <v>615</v>
      </c>
    </row>
    <row r="536" spans="2:12" x14ac:dyDescent="0.3">
      <c r="B536" s="5" t="s">
        <v>593</v>
      </c>
      <c r="C536" t="s">
        <v>248</v>
      </c>
      <c r="D536" t="s">
        <v>589</v>
      </c>
      <c r="E536" t="str">
        <f>IF(Tabella1[[#This Row],[Data type]]= "GEOMORPHOLOGICAL DATA", "G", "N")</f>
        <v>N</v>
      </c>
      <c r="G536" t="s">
        <v>219</v>
      </c>
      <c r="J536" t="str">
        <f t="shared" si="8"/>
        <v>altri_datiWIZ_U32WG_VS_SIT_GEO_250Ktorba</v>
      </c>
      <c r="K536">
        <f>_xlfn.XLOOKUP(Tabella1[[#This Row],[Concatenato]],'Original data'!D:D,'Original data'!E:E)</f>
        <v>8</v>
      </c>
      <c r="L536" t="s">
        <v>630</v>
      </c>
    </row>
    <row r="537" spans="2:12" x14ac:dyDescent="0.3">
      <c r="B537" s="5" t="s">
        <v>593</v>
      </c>
      <c r="C537" t="s">
        <v>248</v>
      </c>
      <c r="D537" t="s">
        <v>589</v>
      </c>
      <c r="E537" t="str">
        <f>IF(Tabella1[[#This Row],[Data type]]= "GEOMORPHOLOGICAL DATA", "G", "N")</f>
        <v>N</v>
      </c>
      <c r="G537" t="s">
        <v>240</v>
      </c>
      <c r="J537" t="str">
        <f t="shared" si="8"/>
        <v>altri_datiWIZ_U32WG_VS_SIT_GEO_250Kargille</v>
      </c>
      <c r="K537">
        <f>_xlfn.XLOOKUP(Tabella1[[#This Row],[Concatenato]],'Original data'!D:D,'Original data'!E:E)</f>
        <v>7</v>
      </c>
      <c r="L537" t="s">
        <v>630</v>
      </c>
    </row>
    <row r="538" spans="2:12" x14ac:dyDescent="0.3">
      <c r="B538" s="5" t="s">
        <v>593</v>
      </c>
      <c r="C538" t="s">
        <v>248</v>
      </c>
      <c r="D538" t="s">
        <v>589</v>
      </c>
      <c r="E538" t="str">
        <f>IF(Tabella1[[#This Row],[Data type]]= "GEOMORPHOLOGICAL DATA", "G", "N")</f>
        <v>N</v>
      </c>
      <c r="G538" t="s">
        <v>215</v>
      </c>
      <c r="J538" t="str">
        <f t="shared" si="8"/>
        <v>altri_datiWIZ_U32WG_VS_SIT_GEO_250Kdolomie calcareo-marnose, calcari dolomitici</v>
      </c>
      <c r="K538">
        <f>_xlfn.XLOOKUP(Tabella1[[#This Row],[Concatenato]],'Original data'!D:D,'Original data'!E:E)</f>
        <v>7</v>
      </c>
      <c r="L538" t="s">
        <v>630</v>
      </c>
    </row>
    <row r="539" spans="2:12" x14ac:dyDescent="0.3">
      <c r="B539" s="5" t="s">
        <v>593</v>
      </c>
      <c r="C539" t="s">
        <v>248</v>
      </c>
      <c r="D539" t="s">
        <v>589</v>
      </c>
      <c r="E539" t="str">
        <f>IF(Tabella1[[#This Row],[Data type]]= "GEOMORPHOLOGICAL DATA", "G", "N")</f>
        <v>N</v>
      </c>
      <c r="G539" t="s">
        <v>189</v>
      </c>
      <c r="J539" t="str">
        <f t="shared" si="8"/>
        <v>altri_datiWIZ_U32WG_VS_SIT_GEO_250Kdolomie tal. arenacee, argilliti, gessi-dolomie/carniole</v>
      </c>
      <c r="K539">
        <f>_xlfn.XLOOKUP(Tabella1[[#This Row],[Concatenato]],'Original data'!D:D,'Original data'!E:E)</f>
        <v>7</v>
      </c>
      <c r="L539" t="s">
        <v>630</v>
      </c>
    </row>
    <row r="540" spans="2:12" x14ac:dyDescent="0.3">
      <c r="B540" t="s">
        <v>592</v>
      </c>
      <c r="C540" t="s">
        <v>425</v>
      </c>
      <c r="D540" t="s">
        <v>586</v>
      </c>
      <c r="E540" t="str">
        <f>IF(Tabella1[[#This Row],[Data type]]= "GEOMORPHOLOGICAL DATA", "G", "N")</f>
        <v>G</v>
      </c>
      <c r="F540" t="s">
        <v>634</v>
      </c>
      <c r="G540" t="s">
        <v>376</v>
      </c>
      <c r="J540" t="str">
        <f t="shared" si="8"/>
        <v>Opere_Difesa_SuoloODS_TOT_areerilevato/vallo paramassi</v>
      </c>
      <c r="K540">
        <f>_xlfn.XLOOKUP(Tabella1[[#This Row],[Concatenato]],'Original data'!D:D,'Original data'!E:E)</f>
        <v>8</v>
      </c>
      <c r="L540" t="s">
        <v>615</v>
      </c>
    </row>
    <row r="541" spans="2:12" x14ac:dyDescent="0.3">
      <c r="B541" t="s">
        <v>592</v>
      </c>
      <c r="C541" t="s">
        <v>426</v>
      </c>
      <c r="D541" t="s">
        <v>588</v>
      </c>
      <c r="E541" t="str">
        <f>IF(Tabella1[[#This Row],[Data type]]= "GEOMORPHOLOGICAL DATA", "G", "N")</f>
        <v>N</v>
      </c>
      <c r="G541" t="s">
        <v>405</v>
      </c>
      <c r="J541" t="str">
        <f t="shared" si="8"/>
        <v>Opere_Difesa_SuoloODS_TOT_lineesondaggio geognostico</v>
      </c>
      <c r="K541">
        <f>_xlfn.XLOOKUP(Tabella1[[#This Row],[Concatenato]],'Original data'!D:D,'Original data'!E:E)</f>
        <v>7</v>
      </c>
      <c r="L541" t="s">
        <v>630</v>
      </c>
    </row>
    <row r="542" spans="2:12" x14ac:dyDescent="0.3">
      <c r="B542" s="5" t="s">
        <v>593</v>
      </c>
      <c r="C542" t="s">
        <v>248</v>
      </c>
      <c r="D542" t="s">
        <v>589</v>
      </c>
      <c r="E542" t="str">
        <f>IF(Tabella1[[#This Row],[Data type]]= "GEOMORPHOLOGICAL DATA", "G", "N")</f>
        <v>N</v>
      </c>
      <c r="G542" t="s">
        <v>245</v>
      </c>
      <c r="J542" t="str">
        <f t="shared" si="8"/>
        <v>altri_datiWIZ_U32WG_VS_SIT_GEO_250Kargille, calcari, conglomerati</v>
      </c>
      <c r="K542">
        <f>_xlfn.XLOOKUP(Tabella1[[#This Row],[Concatenato]],'Original data'!D:D,'Original data'!E:E)</f>
        <v>6</v>
      </c>
      <c r="L542" t="s">
        <v>630</v>
      </c>
    </row>
    <row r="543" spans="2:12" x14ac:dyDescent="0.3">
      <c r="B543" t="s">
        <v>592</v>
      </c>
      <c r="C543" t="s">
        <v>443</v>
      </c>
      <c r="D543" t="s">
        <v>586</v>
      </c>
      <c r="E543" t="str">
        <f>IF(Tabella1[[#This Row],[Data type]]= "GEOMORPHOLOGICAL DATA", "G", "N")</f>
        <v>G</v>
      </c>
      <c r="F543" t="s">
        <v>634</v>
      </c>
      <c r="G543" t="s">
        <v>398</v>
      </c>
      <c r="J543" t="str">
        <f t="shared" si="8"/>
        <v>Opere_Difesa_SuoloODS_TOT_punticordonata</v>
      </c>
      <c r="K543">
        <f>_xlfn.XLOOKUP(Tabella1[[#This Row],[Concatenato]],'Original data'!D:D,'Original data'!E:E)</f>
        <v>6</v>
      </c>
      <c r="L543" t="s">
        <v>615</v>
      </c>
    </row>
    <row r="544" spans="2:12" x14ac:dyDescent="0.3">
      <c r="B544" t="s">
        <v>592</v>
      </c>
      <c r="C544" t="s">
        <v>426</v>
      </c>
      <c r="D544" t="s">
        <v>586</v>
      </c>
      <c r="E544" t="str">
        <f>IF(Tabella1[[#This Row],[Data type]]= "GEOMORPHOLOGICAL DATA", "G", "N")</f>
        <v>G</v>
      </c>
      <c r="F544" t="s">
        <v>634</v>
      </c>
      <c r="G544" t="s">
        <v>397</v>
      </c>
      <c r="J544" t="str">
        <f t="shared" si="8"/>
        <v>Opere_Difesa_SuoloODS_TOT_lineecuneo filtrante</v>
      </c>
      <c r="K544">
        <f>_xlfn.XLOOKUP(Tabella1[[#This Row],[Concatenato]],'Original data'!D:D,'Original data'!E:E)</f>
        <v>6</v>
      </c>
      <c r="L544" t="s">
        <v>615</v>
      </c>
    </row>
    <row r="545" spans="2:12" x14ac:dyDescent="0.3">
      <c r="B545" t="s">
        <v>592</v>
      </c>
      <c r="C545" t="s">
        <v>443</v>
      </c>
      <c r="D545" t="s">
        <v>588</v>
      </c>
      <c r="E545" t="str">
        <f>IF(Tabella1[[#This Row],[Data type]]= "GEOMORPHOLOGICAL DATA", "G", "N")</f>
        <v>N</v>
      </c>
      <c r="G545" t="s">
        <v>354</v>
      </c>
      <c r="J545" t="str">
        <f t="shared" si="8"/>
        <v>Opere_Difesa_SuoloODS_TOT_puntiimbracatura</v>
      </c>
      <c r="K545">
        <f>_xlfn.XLOOKUP(Tabella1[[#This Row],[Concatenato]],'Original data'!D:D,'Original data'!E:E)</f>
        <v>6</v>
      </c>
      <c r="L545" t="s">
        <v>630</v>
      </c>
    </row>
    <row r="546" spans="2:12" x14ac:dyDescent="0.3">
      <c r="B546" t="s">
        <v>592</v>
      </c>
      <c r="C546" t="s">
        <v>425</v>
      </c>
      <c r="D546" t="s">
        <v>588</v>
      </c>
      <c r="E546" t="str">
        <f>IF(Tabella1[[#This Row],[Data type]]= "GEOMORPHOLOGICAL DATA", "G", "N")</f>
        <v>N</v>
      </c>
      <c r="G546" t="s">
        <v>396</v>
      </c>
      <c r="J546" t="str">
        <f t="shared" si="8"/>
        <v>Opere_Difesa_SuoloODS_TOT_areepali</v>
      </c>
      <c r="K546">
        <f>_xlfn.XLOOKUP(Tabella1[[#This Row],[Concatenato]],'Original data'!D:D,'Original data'!E:E)</f>
        <v>6</v>
      </c>
      <c r="L546" t="s">
        <v>630</v>
      </c>
    </row>
    <row r="547" spans="2:12" x14ac:dyDescent="0.3">
      <c r="B547" t="s">
        <v>592</v>
      </c>
      <c r="C547" t="s">
        <v>443</v>
      </c>
      <c r="D547" t="s">
        <v>588</v>
      </c>
      <c r="E547" t="str">
        <f>IF(Tabella1[[#This Row],[Data type]]= "GEOMORPHOLOGICAL DATA", "G", "N")</f>
        <v>N</v>
      </c>
      <c r="G547" t="s">
        <v>416</v>
      </c>
      <c r="J547" t="str">
        <f t="shared" si="8"/>
        <v>Opere_Difesa_SuoloODS_TOT_puntispritz beton</v>
      </c>
      <c r="K547">
        <f>_xlfn.XLOOKUP(Tabella1[[#This Row],[Concatenato]],'Original data'!D:D,'Original data'!E:E)</f>
        <v>6</v>
      </c>
      <c r="L547" t="s">
        <v>630</v>
      </c>
    </row>
    <row r="548" spans="2:12" x14ac:dyDescent="0.3">
      <c r="B548" t="s">
        <v>592</v>
      </c>
      <c r="C548" t="s">
        <v>425</v>
      </c>
      <c r="D548" t="s">
        <v>586</v>
      </c>
      <c r="E548" t="str">
        <f>IF(Tabella1[[#This Row],[Data type]]= "GEOMORPHOLOGICAL DATA", "G", "N")</f>
        <v>G</v>
      </c>
      <c r="F548" t="s">
        <v>634</v>
      </c>
      <c r="G548" t="s">
        <v>384</v>
      </c>
      <c r="J548" t="str">
        <f t="shared" si="8"/>
        <v>Opere_Difesa_SuoloODS_TOT_areedreni sub-orizzontali</v>
      </c>
      <c r="K548">
        <f>_xlfn.XLOOKUP(Tabella1[[#This Row],[Concatenato]],'Original data'!D:D,'Original data'!E:E)</f>
        <v>6</v>
      </c>
      <c r="L548" t="s">
        <v>615</v>
      </c>
    </row>
    <row r="549" spans="2:12" x14ac:dyDescent="0.3">
      <c r="B549" s="5" t="s">
        <v>593</v>
      </c>
      <c r="C549" t="s">
        <v>248</v>
      </c>
      <c r="D549" t="s">
        <v>589</v>
      </c>
      <c r="E549" t="str">
        <f>IF(Tabella1[[#This Row],[Data type]]= "GEOMORPHOLOGICAL DATA", "G", "N")</f>
        <v>N</v>
      </c>
      <c r="G549" t="s">
        <v>187</v>
      </c>
      <c r="J549" t="str">
        <f t="shared" si="8"/>
        <v>altri_datiWIZ_U32WG_VS_SIT_GEO_250Kcalcari e calc. marn. selc./dolomie brecce dol. argilliti</v>
      </c>
      <c r="K549">
        <f>_xlfn.XLOOKUP(Tabella1[[#This Row],[Concatenato]],'Original data'!D:D,'Original data'!E:E)</f>
        <v>5</v>
      </c>
      <c r="L549" t="s">
        <v>630</v>
      </c>
    </row>
    <row r="550" spans="2:12" x14ac:dyDescent="0.3">
      <c r="B550" t="s">
        <v>592</v>
      </c>
      <c r="C550" t="s">
        <v>426</v>
      </c>
      <c r="D550" t="s">
        <v>588</v>
      </c>
      <c r="E550" t="str">
        <f>IF(Tabella1[[#This Row],[Data type]]= "GEOMORPHOLOGICAL DATA", "G", "N")</f>
        <v>N</v>
      </c>
      <c r="G550" t="s">
        <v>433</v>
      </c>
      <c r="J550" t="str">
        <f t="shared" si="8"/>
        <v>Opere_Difesa_SuoloODS_TOT_lineeestensimetro</v>
      </c>
      <c r="K550">
        <f>_xlfn.XLOOKUP(Tabella1[[#This Row],[Concatenato]],'Original data'!D:D,'Original data'!E:E)</f>
        <v>5</v>
      </c>
      <c r="L550" t="s">
        <v>630</v>
      </c>
    </row>
    <row r="551" spans="2:12" x14ac:dyDescent="0.3">
      <c r="B551" s="5" t="s">
        <v>593</v>
      </c>
      <c r="C551" t="s">
        <v>248</v>
      </c>
      <c r="D551" t="s">
        <v>589</v>
      </c>
      <c r="E551" t="str">
        <f>IF(Tabella1[[#This Row],[Data type]]= "GEOMORPHOLOGICAL DATA", "G", "N")</f>
        <v>N</v>
      </c>
      <c r="G551" t="s">
        <v>218</v>
      </c>
      <c r="J551" t="str">
        <f t="shared" si="8"/>
        <v>altri_datiWIZ_U32WG_VS_SIT_GEO_250Kgranofiri</v>
      </c>
      <c r="K551">
        <f>_xlfn.XLOOKUP(Tabella1[[#This Row],[Concatenato]],'Original data'!D:D,'Original data'!E:E)</f>
        <v>5</v>
      </c>
      <c r="L551" t="s">
        <v>630</v>
      </c>
    </row>
    <row r="552" spans="2:12" x14ac:dyDescent="0.3">
      <c r="B552" t="s">
        <v>592</v>
      </c>
      <c r="C552" t="s">
        <v>443</v>
      </c>
      <c r="D552" t="s">
        <v>588</v>
      </c>
      <c r="E552" t="str">
        <f>IF(Tabella1[[#This Row],[Data type]]= "GEOMORPHOLOGICAL DATA", "G", "N")</f>
        <v>N</v>
      </c>
      <c r="G552" t="s">
        <v>441</v>
      </c>
      <c r="J552" t="str">
        <f t="shared" si="8"/>
        <v>Opere_Difesa_SuoloODS_TOT_puntiindagine sismica</v>
      </c>
      <c r="K552">
        <f>_xlfn.XLOOKUP(Tabella1[[#This Row],[Concatenato]],'Original data'!D:D,'Original data'!E:E)</f>
        <v>5</v>
      </c>
      <c r="L552" t="s">
        <v>630</v>
      </c>
    </row>
    <row r="553" spans="2:12" x14ac:dyDescent="0.3">
      <c r="B553" t="s">
        <v>592</v>
      </c>
      <c r="C553" t="s">
        <v>443</v>
      </c>
      <c r="D553" t="s">
        <v>586</v>
      </c>
      <c r="E553" t="str">
        <f>IF(Tabella1[[#This Row],[Data type]]= "GEOMORPHOLOGICAL DATA", "G", "N")</f>
        <v>G</v>
      </c>
      <c r="F553" t="s">
        <v>634</v>
      </c>
      <c r="G553" t="s">
        <v>397</v>
      </c>
      <c r="J553" t="str">
        <f t="shared" si="8"/>
        <v>Opere_Difesa_SuoloODS_TOT_punticuneo filtrante</v>
      </c>
      <c r="K553">
        <f>_xlfn.XLOOKUP(Tabella1[[#This Row],[Concatenato]],'Original data'!D:D,'Original data'!E:E)</f>
        <v>5</v>
      </c>
      <c r="L553" t="s">
        <v>615</v>
      </c>
    </row>
    <row r="554" spans="2:12" x14ac:dyDescent="0.3">
      <c r="B554" t="s">
        <v>592</v>
      </c>
      <c r="C554" t="s">
        <v>426</v>
      </c>
      <c r="D554" t="s">
        <v>588</v>
      </c>
      <c r="E554" t="str">
        <f>IF(Tabella1[[#This Row],[Data type]]= "GEOMORPHOLOGICAL DATA", "G", "N")</f>
        <v>N</v>
      </c>
      <c r="G554" t="s">
        <v>440</v>
      </c>
      <c r="J554" t="str">
        <f t="shared" si="8"/>
        <v>Opere_Difesa_SuoloODS_TOT_lineerepellente</v>
      </c>
      <c r="K554">
        <f>_xlfn.XLOOKUP(Tabella1[[#This Row],[Concatenato]],'Original data'!D:D,'Original data'!E:E)</f>
        <v>5</v>
      </c>
      <c r="L554" t="s">
        <v>630</v>
      </c>
    </row>
    <row r="555" spans="2:12" x14ac:dyDescent="0.3">
      <c r="B555" s="5" t="s">
        <v>591</v>
      </c>
      <c r="C555" t="s">
        <v>137</v>
      </c>
      <c r="D555" t="s">
        <v>588</v>
      </c>
      <c r="E555" t="str">
        <f>IF(Tabella1[[#This Row],[Data type]]= "GEOMORPHOLOGICAL DATA", "G", "N")</f>
        <v>N</v>
      </c>
      <c r="G555" t="s">
        <v>130</v>
      </c>
      <c r="J555" t="str">
        <f t="shared" si="8"/>
        <v>basi_ambientali_pianuraWIZ_U32WG_VS_SIT_BASI_SOTTOAMBRilievi alpini al bordo della pianura - Piano culminale</v>
      </c>
      <c r="K555">
        <f>_xlfn.XLOOKUP(Tabella1[[#This Row],[Concatenato]],'Original data'!D:D,'Original data'!E:E)</f>
        <v>5</v>
      </c>
      <c r="L555" t="s">
        <v>630</v>
      </c>
    </row>
    <row r="556" spans="2:12" x14ac:dyDescent="0.3">
      <c r="B556" s="5" t="s">
        <v>591</v>
      </c>
      <c r="C556" t="s">
        <v>92</v>
      </c>
      <c r="D556" t="s">
        <v>586</v>
      </c>
      <c r="E556" t="str">
        <f>IF(Tabella1[[#This Row],[Data type]]= "GEOMORPHOLOGICAL DATA", "G", "N")</f>
        <v>G</v>
      </c>
      <c r="F556" t="s">
        <v>636</v>
      </c>
      <c r="G556" t="s">
        <v>97</v>
      </c>
      <c r="J556" t="str">
        <f t="shared" si="8"/>
        <v>basi_ambientali_pianuraWIZ_U32WG_VS_SIT_BASI_ELELINorlo di scarpata di degradazione o di frana - attivo</v>
      </c>
      <c r="K556">
        <f>_xlfn.XLOOKUP(Tabella1[[#This Row],[Concatenato]],'Original data'!D:D,'Original data'!E:E)</f>
        <v>5</v>
      </c>
      <c r="L556" t="s">
        <v>615</v>
      </c>
    </row>
    <row r="557" spans="2:12" x14ac:dyDescent="0.3">
      <c r="B557" t="s">
        <v>592</v>
      </c>
      <c r="C557" t="s">
        <v>425</v>
      </c>
      <c r="D557" t="s">
        <v>586</v>
      </c>
      <c r="E557" t="str">
        <f>IF(Tabella1[[#This Row],[Data type]]= "GEOMORPHOLOGICAL DATA", "G", "N")</f>
        <v>G</v>
      </c>
      <c r="F557" t="s">
        <v>634</v>
      </c>
      <c r="G557" t="s">
        <v>408</v>
      </c>
      <c r="J557" t="str">
        <f t="shared" si="8"/>
        <v>Opere_Difesa_SuoloODS_TOT_areesottomurazione</v>
      </c>
      <c r="K557">
        <f>_xlfn.XLOOKUP(Tabella1[[#This Row],[Concatenato]],'Original data'!D:D,'Original data'!E:E)</f>
        <v>5</v>
      </c>
      <c r="L557" t="s">
        <v>615</v>
      </c>
    </row>
    <row r="558" spans="2:12" x14ac:dyDescent="0.3">
      <c r="B558" s="5" t="s">
        <v>593</v>
      </c>
      <c r="C558" t="s">
        <v>148</v>
      </c>
      <c r="D558" t="s">
        <v>588</v>
      </c>
      <c r="E558" t="str">
        <f>IF(Tabella1[[#This Row],[Data type]]= "GEOMORPHOLOGICAL DATA", "G", "N")</f>
        <v>N</v>
      </c>
      <c r="G558" t="s">
        <v>152</v>
      </c>
      <c r="J558" t="str">
        <f t="shared" si="8"/>
        <v>altri_datiWIZ_U32WG_VS_SIRVAL_VA_AGGSZone presunte pericolose</v>
      </c>
      <c r="K558">
        <f>_xlfn.XLOOKUP(Tabella1[[#This Row],[Concatenato]],'Original data'!D:D,'Original data'!E:E)</f>
        <v>5</v>
      </c>
      <c r="L558" t="s">
        <v>630</v>
      </c>
    </row>
    <row r="559" spans="2:12" x14ac:dyDescent="0.3">
      <c r="B559" t="s">
        <v>592</v>
      </c>
      <c r="C559" t="s">
        <v>425</v>
      </c>
      <c r="D559" t="s">
        <v>586</v>
      </c>
      <c r="E559" t="str">
        <f>IF(Tabella1[[#This Row],[Data type]]= "GEOMORPHOLOGICAL DATA", "G", "N")</f>
        <v>G</v>
      </c>
      <c r="F559" t="s">
        <v>634</v>
      </c>
      <c r="G559" t="s">
        <v>356</v>
      </c>
      <c r="J559" t="str">
        <f t="shared" si="8"/>
        <v>Opere_Difesa_SuoloODS_TOT_areevallo/rilevato</v>
      </c>
      <c r="K559">
        <f>_xlfn.XLOOKUP(Tabella1[[#This Row],[Concatenato]],'Original data'!D:D,'Original data'!E:E)</f>
        <v>5</v>
      </c>
      <c r="L559" t="s">
        <v>615</v>
      </c>
    </row>
    <row r="560" spans="2:12" x14ac:dyDescent="0.3">
      <c r="B560" s="5" t="s">
        <v>593</v>
      </c>
      <c r="C560" t="s">
        <v>248</v>
      </c>
      <c r="D560" t="s">
        <v>589</v>
      </c>
      <c r="E560" t="str">
        <f>IF(Tabella1[[#This Row],[Data type]]= "GEOMORPHOLOGICAL DATA", "G", "N")</f>
        <v>N</v>
      </c>
      <c r="G560" t="s">
        <v>242</v>
      </c>
      <c r="J560" t="str">
        <f t="shared" si="8"/>
        <v>altri_datiWIZ_U32WG_VS_SIT_GEO_250Kalter. di argil. e calc. con inglob. C.a Calpionelle, diaspr</v>
      </c>
      <c r="K560">
        <f>_xlfn.XLOOKUP(Tabella1[[#This Row],[Concatenato]],'Original data'!D:D,'Original data'!E:E)</f>
        <v>4</v>
      </c>
      <c r="L560" t="s">
        <v>630</v>
      </c>
    </row>
    <row r="561" spans="2:12" x14ac:dyDescent="0.3">
      <c r="B561" t="s">
        <v>592</v>
      </c>
      <c r="C561" t="s">
        <v>425</v>
      </c>
      <c r="D561" t="s">
        <v>588</v>
      </c>
      <c r="E561" t="str">
        <f>IF(Tabella1[[#This Row],[Data type]]= "GEOMORPHOLOGICAL DATA", "G", "N")</f>
        <v>N</v>
      </c>
      <c r="G561" t="s">
        <v>389</v>
      </c>
      <c r="J561" t="str">
        <f t="shared" si="8"/>
        <v>Opere_Difesa_SuoloODS_TOT_areeancoraggio/tiranti</v>
      </c>
      <c r="K561">
        <f>_xlfn.XLOOKUP(Tabella1[[#This Row],[Concatenato]],'Original data'!D:D,'Original data'!E:E)</f>
        <v>4</v>
      </c>
      <c r="L561" t="s">
        <v>630</v>
      </c>
    </row>
    <row r="562" spans="2:12" x14ac:dyDescent="0.3">
      <c r="B562" s="5" t="s">
        <v>593</v>
      </c>
      <c r="C562" t="s">
        <v>248</v>
      </c>
      <c r="D562" t="s">
        <v>589</v>
      </c>
      <c r="E562" t="str">
        <f>IF(Tabella1[[#This Row],[Data type]]= "GEOMORPHOLOGICAL DATA", "G", "N")</f>
        <v>N</v>
      </c>
      <c r="G562" t="s">
        <v>222</v>
      </c>
      <c r="J562" t="str">
        <f t="shared" si="8"/>
        <v>altri_datiWIZ_U32WG_VS_SIT_GEO_250Kargille e sabbie</v>
      </c>
      <c r="K562">
        <f>_xlfn.XLOOKUP(Tabella1[[#This Row],[Concatenato]],'Original data'!D:D,'Original data'!E:E)</f>
        <v>4</v>
      </c>
      <c r="L562" t="s">
        <v>630</v>
      </c>
    </row>
    <row r="563" spans="2:12" x14ac:dyDescent="0.3">
      <c r="B563" s="5" t="s">
        <v>593</v>
      </c>
      <c r="C563" t="s">
        <v>248</v>
      </c>
      <c r="D563" t="s">
        <v>589</v>
      </c>
      <c r="E563" t="str">
        <f>IF(Tabella1[[#This Row],[Data type]]= "GEOMORPHOLOGICAL DATA", "G", "N")</f>
        <v>N</v>
      </c>
      <c r="G563" t="s">
        <v>228</v>
      </c>
      <c r="J563" t="str">
        <f t="shared" si="8"/>
        <v>altri_datiWIZ_U32WG_VS_SIT_GEO_250KCalcari nummulitici</v>
      </c>
      <c r="K563">
        <f>_xlfn.XLOOKUP(Tabella1[[#This Row],[Concatenato]],'Original data'!D:D,'Original data'!E:E)</f>
        <v>4</v>
      </c>
      <c r="L563" t="s">
        <v>630</v>
      </c>
    </row>
    <row r="564" spans="2:12" x14ac:dyDescent="0.3">
      <c r="B564" s="5" t="s">
        <v>593</v>
      </c>
      <c r="C564" t="s">
        <v>248</v>
      </c>
      <c r="D564" t="s">
        <v>589</v>
      </c>
      <c r="E564" t="str">
        <f>IF(Tabella1[[#This Row],[Data type]]= "GEOMORPHOLOGICAL DATA", "G", "N")</f>
        <v>N</v>
      </c>
      <c r="G564" t="s">
        <v>233</v>
      </c>
      <c r="J564" t="str">
        <f t="shared" si="8"/>
        <v>altri_datiWIZ_U32WG_VS_SIT_GEO_250Kcalcari, brecce, sabbie, marne</v>
      </c>
      <c r="K564">
        <f>_xlfn.XLOOKUP(Tabella1[[#This Row],[Concatenato]],'Original data'!D:D,'Original data'!E:E)</f>
        <v>4</v>
      </c>
      <c r="L564" t="s">
        <v>630</v>
      </c>
    </row>
    <row r="565" spans="2:12" x14ac:dyDescent="0.3">
      <c r="B565" s="5" t="s">
        <v>593</v>
      </c>
      <c r="C565" t="s">
        <v>248</v>
      </c>
      <c r="D565" t="s">
        <v>589</v>
      </c>
      <c r="E565" t="str">
        <f>IF(Tabella1[[#This Row],[Data type]]= "GEOMORPHOLOGICAL DATA", "G", "N")</f>
        <v>N</v>
      </c>
      <c r="G565" t="s">
        <v>181</v>
      </c>
      <c r="J565" t="str">
        <f t="shared" si="8"/>
        <v>altri_datiWIZ_U32WG_VS_SIT_GEO_250Kcalcescisti s.l., quarzoscisti (event. a Fe e Mn),   marmi</v>
      </c>
      <c r="K565">
        <f>_xlfn.XLOOKUP(Tabella1[[#This Row],[Concatenato]],'Original data'!D:D,'Original data'!E:E)</f>
        <v>4</v>
      </c>
      <c r="L565" t="s">
        <v>630</v>
      </c>
    </row>
    <row r="566" spans="2:12" x14ac:dyDescent="0.3">
      <c r="B566" s="3" t="s">
        <v>594</v>
      </c>
      <c r="C566" t="s">
        <v>328</v>
      </c>
      <c r="D566" t="s">
        <v>586</v>
      </c>
      <c r="E566" t="str">
        <f>IF(Tabella1[[#This Row],[Data type]]= "GEOMORPHOLOGICAL DATA", "G", "N")</f>
        <v>G</v>
      </c>
      <c r="F566" t="s">
        <v>636</v>
      </c>
      <c r="G566" s="2" t="s">
        <v>513</v>
      </c>
      <c r="H566" s="2"/>
      <c r="J566" t="str">
        <f t="shared" si="8"/>
        <v>dissesti_IFFIfr_aree11 (Aree soggette a frane superficiali diffuse)</v>
      </c>
      <c r="K566">
        <f>_xlfn.XLOOKUP(Tabella1[[#This Row],[Concatenato]],'Original data'!D:D,'Original data'!E:E)</f>
        <v>4</v>
      </c>
      <c r="L566" t="s">
        <v>615</v>
      </c>
    </row>
    <row r="567" spans="2:12" x14ac:dyDescent="0.3">
      <c r="B567" s="5" t="s">
        <v>593</v>
      </c>
      <c r="C567" t="s">
        <v>248</v>
      </c>
      <c r="D567" t="s">
        <v>589</v>
      </c>
      <c r="E567" t="str">
        <f>IF(Tabella1[[#This Row],[Data type]]= "GEOMORPHOLOGICAL DATA", "G", "N")</f>
        <v>N</v>
      </c>
      <c r="G567" t="s">
        <v>210</v>
      </c>
      <c r="J567" t="str">
        <f t="shared" si="8"/>
        <v>altri_datiWIZ_U32WG_VS_SIT_GEO_250Kdolomie, calcari</v>
      </c>
      <c r="K567">
        <f>_xlfn.XLOOKUP(Tabella1[[#This Row],[Concatenato]],'Original data'!D:D,'Original data'!E:E)</f>
        <v>4</v>
      </c>
      <c r="L567" t="s">
        <v>630</v>
      </c>
    </row>
    <row r="568" spans="2:12" x14ac:dyDescent="0.3">
      <c r="B568" t="s">
        <v>592</v>
      </c>
      <c r="C568" t="s">
        <v>426</v>
      </c>
      <c r="D568" t="s">
        <v>586</v>
      </c>
      <c r="E568" t="str">
        <f>IF(Tabella1[[#This Row],[Data type]]= "GEOMORPHOLOGICAL DATA", "G", "N")</f>
        <v>G</v>
      </c>
      <c r="F568" t="s">
        <v>634</v>
      </c>
      <c r="G568" t="s">
        <v>387</v>
      </c>
      <c r="J568" t="str">
        <f t="shared" si="8"/>
        <v>Opere_Difesa_SuoloODS_TOT_lineefrangivento</v>
      </c>
      <c r="K568">
        <f>_xlfn.XLOOKUP(Tabella1[[#This Row],[Concatenato]],'Original data'!D:D,'Original data'!E:E)</f>
        <v>4</v>
      </c>
      <c r="L568" t="s">
        <v>615</v>
      </c>
    </row>
    <row r="569" spans="2:12" x14ac:dyDescent="0.3">
      <c r="B569" t="s">
        <v>592</v>
      </c>
      <c r="C569" t="s">
        <v>426</v>
      </c>
      <c r="D569" t="s">
        <v>586</v>
      </c>
      <c r="E569" t="str">
        <f>IF(Tabella1[[#This Row],[Data type]]= "GEOMORPHOLOGICAL DATA", "G", "N")</f>
        <v>G</v>
      </c>
      <c r="F569" t="s">
        <v>634</v>
      </c>
      <c r="G569" t="s">
        <v>428</v>
      </c>
      <c r="J569" t="str">
        <f t="shared" si="8"/>
        <v>Opere_Difesa_SuoloODS_TOT_lineegalleria drenante</v>
      </c>
      <c r="K569">
        <f>_xlfn.XLOOKUP(Tabella1[[#This Row],[Concatenato]],'Original data'!D:D,'Original data'!E:E)</f>
        <v>4</v>
      </c>
      <c r="L569" t="s">
        <v>615</v>
      </c>
    </row>
    <row r="570" spans="2:12" x14ac:dyDescent="0.3">
      <c r="B570" t="s">
        <v>592</v>
      </c>
      <c r="C570" t="s">
        <v>443</v>
      </c>
      <c r="D570" t="s">
        <v>586</v>
      </c>
      <c r="E570" t="str">
        <f>IF(Tabella1[[#This Row],[Data type]]= "GEOMORPHOLOGICAL DATA", "G", "N")</f>
        <v>G</v>
      </c>
      <c r="F570" t="s">
        <v>634</v>
      </c>
      <c r="G570" t="s">
        <v>334</v>
      </c>
      <c r="J570" t="str">
        <f t="shared" si="8"/>
        <v>Opere_Difesa_SuoloODS_TOT_puntigradonata viva</v>
      </c>
      <c r="K570">
        <f>_xlfn.XLOOKUP(Tabella1[[#This Row],[Concatenato]],'Original data'!D:D,'Original data'!E:E)</f>
        <v>4</v>
      </c>
      <c r="L570" t="s">
        <v>615</v>
      </c>
    </row>
    <row r="571" spans="2:12" x14ac:dyDescent="0.3">
      <c r="B571" t="s">
        <v>592</v>
      </c>
      <c r="C571" t="s">
        <v>425</v>
      </c>
      <c r="D571" t="s">
        <v>586</v>
      </c>
      <c r="E571" t="str">
        <f>IF(Tabella1[[#This Row],[Data type]]= "GEOMORPHOLOGICAL DATA", "G", "N")</f>
        <v>G</v>
      </c>
      <c r="F571" t="s">
        <v>634</v>
      </c>
      <c r="G571" t="s">
        <v>355</v>
      </c>
      <c r="J571" t="str">
        <f t="shared" si="8"/>
        <v>Opere_Difesa_SuoloODS_TOT_areeimpermeabilizzazione</v>
      </c>
      <c r="K571">
        <f>_xlfn.XLOOKUP(Tabella1[[#This Row],[Concatenato]],'Original data'!D:D,'Original data'!E:E)</f>
        <v>4</v>
      </c>
      <c r="L571" t="s">
        <v>615</v>
      </c>
    </row>
    <row r="572" spans="2:12" x14ac:dyDescent="0.3">
      <c r="B572" t="s">
        <v>592</v>
      </c>
      <c r="C572" t="s">
        <v>425</v>
      </c>
      <c r="D572" t="s">
        <v>588</v>
      </c>
      <c r="E572" t="str">
        <f>IF(Tabella1[[#This Row],[Data type]]= "GEOMORPHOLOGICAL DATA", "G", "N")</f>
        <v>N</v>
      </c>
      <c r="G572" t="s">
        <v>361</v>
      </c>
      <c r="J572" t="str">
        <f t="shared" si="8"/>
        <v>Opere_Difesa_SuoloODS_TOT_areemira topografica</v>
      </c>
      <c r="K572">
        <f>_xlfn.XLOOKUP(Tabella1[[#This Row],[Concatenato]],'Original data'!D:D,'Original data'!E:E)</f>
        <v>4</v>
      </c>
      <c r="L572" t="s">
        <v>630</v>
      </c>
    </row>
    <row r="573" spans="2:12" x14ac:dyDescent="0.3">
      <c r="B573" t="s">
        <v>592</v>
      </c>
      <c r="C573" t="s">
        <v>443</v>
      </c>
      <c r="D573" t="s">
        <v>586</v>
      </c>
      <c r="E573" t="str">
        <f>IF(Tabella1[[#This Row],[Data type]]= "GEOMORPHOLOGICAL DATA", "G", "N")</f>
        <v>G</v>
      </c>
      <c r="F573" t="s">
        <v>634</v>
      </c>
      <c r="G573" t="s">
        <v>355</v>
      </c>
      <c r="J573" t="str">
        <f t="shared" si="8"/>
        <v>Opere_Difesa_SuoloODS_TOT_puntiimpermeabilizzazione</v>
      </c>
      <c r="K573">
        <f>_xlfn.XLOOKUP(Tabella1[[#This Row],[Concatenato]],'Original data'!D:D,'Original data'!E:E)</f>
        <v>4</v>
      </c>
      <c r="L573" t="s">
        <v>615</v>
      </c>
    </row>
    <row r="574" spans="2:12" x14ac:dyDescent="0.3">
      <c r="B574" t="s">
        <v>592</v>
      </c>
      <c r="C574" t="s">
        <v>425</v>
      </c>
      <c r="D574" t="s">
        <v>586</v>
      </c>
      <c r="E574" t="str">
        <f>IF(Tabella1[[#This Row],[Data type]]= "GEOMORPHOLOGICAL DATA", "G", "N")</f>
        <v>G</v>
      </c>
      <c r="F574" t="s">
        <v>634</v>
      </c>
      <c r="G574" t="s">
        <v>347</v>
      </c>
      <c r="J574" t="str">
        <f t="shared" si="8"/>
        <v>Opere_Difesa_SuoloODS_TOT_areemuro di terrazzamento</v>
      </c>
      <c r="K574">
        <f>_xlfn.XLOOKUP(Tabella1[[#This Row],[Concatenato]],'Original data'!D:D,'Original data'!E:E)</f>
        <v>4</v>
      </c>
      <c r="L574" t="s">
        <v>615</v>
      </c>
    </row>
    <row r="575" spans="2:12" x14ac:dyDescent="0.3">
      <c r="B575" s="5" t="s">
        <v>591</v>
      </c>
      <c r="C575" t="s">
        <v>137</v>
      </c>
      <c r="D575" t="s">
        <v>588</v>
      </c>
      <c r="E575" t="str">
        <f>IF(Tabella1[[#This Row],[Data type]]= "GEOMORPHOLOGICAL DATA", "G", "N")</f>
        <v>N</v>
      </c>
      <c r="G575" t="s">
        <v>136</v>
      </c>
      <c r="J575" t="str">
        <f t="shared" si="8"/>
        <v>basi_ambientali_pianuraWIZ_U32WG_VS_SIT_BASI_SOTTOAMBRilievi appenninici al bordo dalla pinura - Piano basale</v>
      </c>
      <c r="K575">
        <f>_xlfn.XLOOKUP(Tabella1[[#This Row],[Concatenato]],'Original data'!D:D,'Original data'!E:E)</f>
        <v>4</v>
      </c>
      <c r="L575" t="s">
        <v>630</v>
      </c>
    </row>
    <row r="576" spans="2:12" x14ac:dyDescent="0.3">
      <c r="B576" t="s">
        <v>592</v>
      </c>
      <c r="C576" t="s">
        <v>426</v>
      </c>
      <c r="D576" t="s">
        <v>587</v>
      </c>
      <c r="E576" t="str">
        <f>IF(Tabella1[[#This Row],[Data type]]= "GEOMORPHOLOGICAL DATA", "G", "N")</f>
        <v>N</v>
      </c>
      <c r="G576" t="s">
        <v>380</v>
      </c>
      <c r="J576" t="str">
        <f t="shared" si="8"/>
        <v>Opere_Difesa_SuoloODS_TOT_lineerimboschimento</v>
      </c>
      <c r="K576">
        <f>_xlfn.XLOOKUP(Tabella1[[#This Row],[Concatenato]],'Original data'!D:D,'Original data'!E:E)</f>
        <v>4</v>
      </c>
      <c r="L576" t="s">
        <v>630</v>
      </c>
    </row>
    <row r="577" spans="2:12" x14ac:dyDescent="0.3">
      <c r="B577" t="s">
        <v>592</v>
      </c>
      <c r="C577" t="s">
        <v>426</v>
      </c>
      <c r="D577" t="s">
        <v>587</v>
      </c>
      <c r="E577" t="str">
        <f>IF(Tabella1[[#This Row],[Data type]]= "GEOMORPHOLOGICAL DATA", "G", "N")</f>
        <v>N</v>
      </c>
      <c r="G577" t="s">
        <v>379</v>
      </c>
      <c r="J577" t="str">
        <f t="shared" si="8"/>
        <v>Opere_Difesa_SuoloODS_TOT_lineerivestimento antierosivo biodegradabile</v>
      </c>
      <c r="K577">
        <f>_xlfn.XLOOKUP(Tabella1[[#This Row],[Concatenato]],'Original data'!D:D,'Original data'!E:E)</f>
        <v>4</v>
      </c>
      <c r="L577" t="s">
        <v>630</v>
      </c>
    </row>
    <row r="578" spans="2:12" x14ac:dyDescent="0.3">
      <c r="B578" t="s">
        <v>592</v>
      </c>
      <c r="C578" t="s">
        <v>446</v>
      </c>
      <c r="D578" t="s">
        <v>586</v>
      </c>
      <c r="E578" t="str">
        <f>IF(Tabella1[[#This Row],[Data type]]= "GEOMORPHOLOGICAL DATA", "G", "N")</f>
        <v>G</v>
      </c>
      <c r="F578" t="s">
        <v>634</v>
      </c>
      <c r="G578" t="s">
        <v>413</v>
      </c>
      <c r="J578" t="str">
        <f t="shared" ref="J578:J637" si="9">_xlfn.CONCAT(B578,C578,G578)</f>
        <v>Opere_Difesa_SuoloOPERE_FIUMI_PLmuro in cemento armato</v>
      </c>
      <c r="K578">
        <f>_xlfn.XLOOKUP(Tabella1[[#This Row],[Concatenato]],'Original data'!D:D,'Original data'!E:E)</f>
        <v>4</v>
      </c>
      <c r="L578" t="s">
        <v>615</v>
      </c>
    </row>
    <row r="579" spans="2:12" x14ac:dyDescent="0.3">
      <c r="B579" t="s">
        <v>592</v>
      </c>
      <c r="C579" t="s">
        <v>446</v>
      </c>
      <c r="D579" t="s">
        <v>586</v>
      </c>
      <c r="E579" t="str">
        <f>IF(Tabella1[[#This Row],[Data type]]= "GEOMORPHOLOGICAL DATA", "G", "N")</f>
        <v>G</v>
      </c>
      <c r="F579" t="s">
        <v>634</v>
      </c>
      <c r="G579" t="s">
        <v>372</v>
      </c>
      <c r="J579" t="str">
        <f t="shared" si="9"/>
        <v>Opere_Difesa_SuoloOPERE_FIUMI_PLrivestimento antierosivo sintetico</v>
      </c>
      <c r="K579">
        <f>_xlfn.XLOOKUP(Tabella1[[#This Row],[Concatenato]],'Original data'!D:D,'Original data'!E:E)</f>
        <v>4</v>
      </c>
      <c r="L579" t="s">
        <v>615</v>
      </c>
    </row>
    <row r="580" spans="2:12" x14ac:dyDescent="0.3">
      <c r="B580" t="s">
        <v>592</v>
      </c>
      <c r="C580" t="s">
        <v>425</v>
      </c>
      <c r="D580" t="s">
        <v>586</v>
      </c>
      <c r="E580" t="str">
        <f>IF(Tabella1[[#This Row],[Data type]]= "GEOMORPHOLOGICAL DATA", "G", "N")</f>
        <v>G</v>
      </c>
      <c r="F580" t="s">
        <v>634</v>
      </c>
      <c r="G580" t="s">
        <v>399</v>
      </c>
      <c r="J580" t="str">
        <f t="shared" si="9"/>
        <v>Opere_Difesa_SuoloODS_TOT_areeterrazzamenti/gradonature</v>
      </c>
      <c r="K580">
        <f>_xlfn.XLOOKUP(Tabella1[[#This Row],[Concatenato]],'Original data'!D:D,'Original data'!E:E)</f>
        <v>4</v>
      </c>
      <c r="L580" t="s">
        <v>615</v>
      </c>
    </row>
    <row r="581" spans="2:12" x14ac:dyDescent="0.3">
      <c r="B581" t="s">
        <v>592</v>
      </c>
      <c r="C581" t="s">
        <v>426</v>
      </c>
      <c r="D581" t="s">
        <v>586</v>
      </c>
      <c r="E581" t="str">
        <f>IF(Tabella1[[#This Row],[Data type]]= "GEOMORPHOLOGICAL DATA", "G", "N")</f>
        <v>G</v>
      </c>
      <c r="F581" t="s">
        <v>634</v>
      </c>
      <c r="G581" t="s">
        <v>420</v>
      </c>
      <c r="J581" t="str">
        <f t="shared" si="9"/>
        <v>Opere_Difesa_SuoloODS_TOT_lineetrincea paramassi</v>
      </c>
      <c r="K581">
        <f>_xlfn.XLOOKUP(Tabella1[[#This Row],[Concatenato]],'Original data'!D:D,'Original data'!E:E)</f>
        <v>4</v>
      </c>
      <c r="L581" t="s">
        <v>615</v>
      </c>
    </row>
    <row r="582" spans="2:12" x14ac:dyDescent="0.3">
      <c r="B582" t="s">
        <v>592</v>
      </c>
      <c r="C582" t="s">
        <v>425</v>
      </c>
      <c r="D582" t="s">
        <v>586</v>
      </c>
      <c r="E582" t="str">
        <f>IF(Tabella1[[#This Row],[Data type]]= "GEOMORPHOLOGICAL DATA", "G", "N")</f>
        <v>G</v>
      </c>
      <c r="F582" t="s">
        <v>634</v>
      </c>
      <c r="G582" t="s">
        <v>390</v>
      </c>
      <c r="J582" t="str">
        <f t="shared" si="9"/>
        <v>Opere_Difesa_SuoloODS_TOT_areebarriera a funi parallele</v>
      </c>
      <c r="K582">
        <f>_xlfn.XLOOKUP(Tabella1[[#This Row],[Concatenato]],'Original data'!D:D,'Original data'!E:E)</f>
        <v>3</v>
      </c>
      <c r="L582" t="s">
        <v>615</v>
      </c>
    </row>
    <row r="583" spans="2:12" x14ac:dyDescent="0.3">
      <c r="B583" t="s">
        <v>592</v>
      </c>
      <c r="C583" t="s">
        <v>426</v>
      </c>
      <c r="D583" t="s">
        <v>588</v>
      </c>
      <c r="E583" t="str">
        <f>IF(Tabella1[[#This Row],[Data type]]= "GEOMORPHOLOGICAL DATA", "G", "N")</f>
        <v>N</v>
      </c>
      <c r="G583" t="s">
        <v>599</v>
      </c>
      <c r="J583" t="str">
        <f t="shared" si="9"/>
        <v>Opere_Difesa_SuoloODS_TOT_lineedeflettore/acceleratore</v>
      </c>
      <c r="K583">
        <f>_xlfn.XLOOKUP(Tabella1[[#This Row],[Concatenato]],'Original data'!D:D,'Original data'!E:E)</f>
        <v>3</v>
      </c>
      <c r="L583" t="s">
        <v>630</v>
      </c>
    </row>
    <row r="584" spans="2:12" x14ac:dyDescent="0.3">
      <c r="B584" t="s">
        <v>592</v>
      </c>
      <c r="C584" t="s">
        <v>426</v>
      </c>
      <c r="D584" t="s">
        <v>588</v>
      </c>
      <c r="E584" t="str">
        <f>IF(Tabella1[[#This Row],[Data type]]= "GEOMORPHOLOGICAL DATA", "G", "N")</f>
        <v>N</v>
      </c>
      <c r="G584" t="s">
        <v>354</v>
      </c>
      <c r="J584" t="str">
        <f t="shared" si="9"/>
        <v>Opere_Difesa_SuoloODS_TOT_lineeimbracatura</v>
      </c>
      <c r="K584">
        <f>_xlfn.XLOOKUP(Tabella1[[#This Row],[Concatenato]],'Original data'!D:D,'Original data'!E:E)</f>
        <v>3</v>
      </c>
      <c r="L584" t="s">
        <v>630</v>
      </c>
    </row>
    <row r="585" spans="2:12" x14ac:dyDescent="0.3">
      <c r="B585" t="s">
        <v>592</v>
      </c>
      <c r="C585" t="s">
        <v>443</v>
      </c>
      <c r="D585" t="s">
        <v>586</v>
      </c>
      <c r="E585" t="str">
        <f>IF(Tabella1[[#This Row],[Data type]]= "GEOMORPHOLOGICAL DATA", "G", "N")</f>
        <v>G</v>
      </c>
      <c r="F585" t="s">
        <v>634</v>
      </c>
      <c r="G585" t="s">
        <v>387</v>
      </c>
      <c r="J585" t="str">
        <f t="shared" si="9"/>
        <v>Opere_Difesa_SuoloODS_TOT_puntifrangivento</v>
      </c>
      <c r="K585">
        <f>_xlfn.XLOOKUP(Tabella1[[#This Row],[Concatenato]],'Original data'!D:D,'Original data'!E:E)</f>
        <v>3</v>
      </c>
      <c r="L585" t="s">
        <v>615</v>
      </c>
    </row>
    <row r="586" spans="2:12" x14ac:dyDescent="0.3">
      <c r="B586" t="s">
        <v>592</v>
      </c>
      <c r="C586" t="s">
        <v>443</v>
      </c>
      <c r="D586" t="s">
        <v>586</v>
      </c>
      <c r="E586" t="str">
        <f>IF(Tabella1[[#This Row],[Data type]]= "GEOMORPHOLOGICAL DATA", "G", "N")</f>
        <v>G</v>
      </c>
      <c r="F586" t="s">
        <v>634</v>
      </c>
      <c r="G586" t="s">
        <v>414</v>
      </c>
      <c r="J586" t="str">
        <f t="shared" si="9"/>
        <v>Opere_Difesa_SuoloODS_TOT_puntimuro cellulare</v>
      </c>
      <c r="K586">
        <f>_xlfn.XLOOKUP(Tabella1[[#This Row],[Concatenato]],'Original data'!D:D,'Original data'!E:E)</f>
        <v>3</v>
      </c>
      <c r="L586" t="s">
        <v>615</v>
      </c>
    </row>
    <row r="587" spans="2:12" x14ac:dyDescent="0.3">
      <c r="B587" t="s">
        <v>592</v>
      </c>
      <c r="C587" t="s">
        <v>425</v>
      </c>
      <c r="D587" t="s">
        <v>586</v>
      </c>
      <c r="E587" t="str">
        <f>IF(Tabella1[[#This Row],[Data type]]= "GEOMORPHOLOGICAL DATA", "G", "N")</f>
        <v>G</v>
      </c>
      <c r="F587" t="s">
        <v>634</v>
      </c>
      <c r="G587" t="s">
        <v>413</v>
      </c>
      <c r="J587" t="str">
        <f t="shared" si="9"/>
        <v>Opere_Difesa_SuoloODS_TOT_areemuro in cemento armato</v>
      </c>
      <c r="K587">
        <f>_xlfn.XLOOKUP(Tabella1[[#This Row],[Concatenato]],'Original data'!D:D,'Original data'!E:E)</f>
        <v>3</v>
      </c>
      <c r="L587" t="s">
        <v>615</v>
      </c>
    </row>
    <row r="588" spans="2:12" x14ac:dyDescent="0.3">
      <c r="B588" t="s">
        <v>592</v>
      </c>
      <c r="C588" t="s">
        <v>426</v>
      </c>
      <c r="D588" t="s">
        <v>588</v>
      </c>
      <c r="E588" t="str">
        <f>IF(Tabella1[[#This Row],[Data type]]= "GEOMORPHOLOGICAL DATA", "G", "N")</f>
        <v>N</v>
      </c>
      <c r="G588" t="s">
        <v>401</v>
      </c>
      <c r="J588" t="str">
        <f t="shared" si="9"/>
        <v>Opere_Difesa_SuoloODS_TOT_lineepiezometro</v>
      </c>
      <c r="K588">
        <f>_xlfn.XLOOKUP(Tabella1[[#This Row],[Concatenato]],'Original data'!D:D,'Original data'!E:E)</f>
        <v>3</v>
      </c>
      <c r="L588" t="s">
        <v>630</v>
      </c>
    </row>
    <row r="589" spans="2:12" x14ac:dyDescent="0.3">
      <c r="B589" t="s">
        <v>592</v>
      </c>
      <c r="C589" t="s">
        <v>446</v>
      </c>
      <c r="D589" t="s">
        <v>586</v>
      </c>
      <c r="E589" t="str">
        <f>IF(Tabella1[[#This Row],[Data type]]= "GEOMORPHOLOGICAL DATA", "G", "N")</f>
        <v>G</v>
      </c>
      <c r="F589" t="s">
        <v>634</v>
      </c>
      <c r="G589" t="s">
        <v>439</v>
      </c>
      <c r="J589" t="str">
        <f t="shared" si="9"/>
        <v>Opere_Difesa_SuoloOPERE_FIUMI_PLparatia</v>
      </c>
      <c r="K589">
        <f>_xlfn.XLOOKUP(Tabella1[[#This Row],[Concatenato]],'Original data'!D:D,'Original data'!E:E)</f>
        <v>3</v>
      </c>
      <c r="L589" t="s">
        <v>615</v>
      </c>
    </row>
    <row r="590" spans="2:12" x14ac:dyDescent="0.3">
      <c r="B590" t="s">
        <v>592</v>
      </c>
      <c r="C590" t="s">
        <v>443</v>
      </c>
      <c r="D590" t="s">
        <v>587</v>
      </c>
      <c r="E590" t="str">
        <f>IF(Tabella1[[#This Row],[Data type]]= "GEOMORPHOLOGICAL DATA", "G", "N")</f>
        <v>N</v>
      </c>
      <c r="G590" t="s">
        <v>380</v>
      </c>
      <c r="J590" t="str">
        <f t="shared" si="9"/>
        <v>Opere_Difesa_SuoloODS_TOT_puntirimboschimento</v>
      </c>
      <c r="K590">
        <f>_xlfn.XLOOKUP(Tabella1[[#This Row],[Concatenato]],'Original data'!D:D,'Original data'!E:E)</f>
        <v>3</v>
      </c>
      <c r="L590" t="s">
        <v>630</v>
      </c>
    </row>
    <row r="591" spans="2:12" x14ac:dyDescent="0.3">
      <c r="B591" t="s">
        <v>592</v>
      </c>
      <c r="C591" t="s">
        <v>443</v>
      </c>
      <c r="D591" t="s">
        <v>586</v>
      </c>
      <c r="E591" t="str">
        <f>IF(Tabella1[[#This Row],[Data type]]= "GEOMORPHOLOGICAL DATA", "G", "N")</f>
        <v>G</v>
      </c>
      <c r="F591" t="s">
        <v>634</v>
      </c>
      <c r="G591" t="s">
        <v>422</v>
      </c>
      <c r="J591" t="str">
        <f t="shared" si="9"/>
        <v>Opere_Difesa_SuoloODS_TOT_puntirete elastoplastica</v>
      </c>
      <c r="K591">
        <f>_xlfn.XLOOKUP(Tabella1[[#This Row],[Concatenato]],'Original data'!D:D,'Original data'!E:E)</f>
        <v>3</v>
      </c>
      <c r="L591" t="s">
        <v>615</v>
      </c>
    </row>
    <row r="592" spans="2:12" x14ac:dyDescent="0.3">
      <c r="B592" s="5" t="s">
        <v>593</v>
      </c>
      <c r="C592" t="s">
        <v>248</v>
      </c>
      <c r="D592" t="s">
        <v>589</v>
      </c>
      <c r="E592" t="str">
        <f>IF(Tabella1[[#This Row],[Data type]]= "GEOMORPHOLOGICAL DATA", "G", "N")</f>
        <v>N</v>
      </c>
      <c r="G592" t="s">
        <v>246</v>
      </c>
      <c r="J592" t="str">
        <f t="shared" si="9"/>
        <v>altri_datiWIZ_U32WG_VS_SIT_GEO_250Kscisti bituminosi</v>
      </c>
      <c r="K592">
        <f>_xlfn.XLOOKUP(Tabella1[[#This Row],[Concatenato]],'Original data'!D:D,'Original data'!E:E)</f>
        <v>3</v>
      </c>
      <c r="L592" t="s">
        <v>630</v>
      </c>
    </row>
    <row r="593" spans="2:12" x14ac:dyDescent="0.3">
      <c r="B593" t="s">
        <v>592</v>
      </c>
      <c r="C593" t="s">
        <v>426</v>
      </c>
      <c r="D593" t="s">
        <v>586</v>
      </c>
      <c r="E593" t="str">
        <f>IF(Tabella1[[#This Row],[Data type]]= "GEOMORPHOLOGICAL DATA", "G", "N")</f>
        <v>G</v>
      </c>
      <c r="F593" t="s">
        <v>634</v>
      </c>
      <c r="G593" t="s">
        <v>372</v>
      </c>
      <c r="J593" t="str">
        <f t="shared" si="9"/>
        <v>Opere_Difesa_SuoloODS_TOT_lineerivestimento antierosivo sintetico</v>
      </c>
      <c r="K593">
        <f>_xlfn.XLOOKUP(Tabella1[[#This Row],[Concatenato]],'Original data'!D:D,'Original data'!E:E)</f>
        <v>3</v>
      </c>
      <c r="L593" t="s">
        <v>615</v>
      </c>
    </row>
    <row r="594" spans="2:12" x14ac:dyDescent="0.3">
      <c r="B594" t="s">
        <v>592</v>
      </c>
      <c r="C594" t="s">
        <v>446</v>
      </c>
      <c r="D594" t="s">
        <v>586</v>
      </c>
      <c r="E594" t="str">
        <f>IF(Tabella1[[#This Row],[Data type]]= "GEOMORPHOLOGICAL DATA", "G", "N")</f>
        <v>G</v>
      </c>
      <c r="F594" t="s">
        <v>634</v>
      </c>
      <c r="G594" t="s">
        <v>408</v>
      </c>
      <c r="J594" t="str">
        <f t="shared" si="9"/>
        <v>Opere_Difesa_SuoloOPERE_FIUMI_PLsottomurazione</v>
      </c>
      <c r="K594">
        <f>_xlfn.XLOOKUP(Tabella1[[#This Row],[Concatenato]],'Original data'!D:D,'Original data'!E:E)</f>
        <v>3</v>
      </c>
      <c r="L594" t="s">
        <v>615</v>
      </c>
    </row>
    <row r="595" spans="2:12" x14ac:dyDescent="0.3">
      <c r="B595" s="5" t="s">
        <v>593</v>
      </c>
      <c r="C595" t="s">
        <v>248</v>
      </c>
      <c r="D595" t="s">
        <v>589</v>
      </c>
      <c r="E595" t="str">
        <f>IF(Tabella1[[#This Row],[Data type]]= "GEOMORPHOLOGICAL DATA", "G", "N")</f>
        <v>N</v>
      </c>
      <c r="G595" t="s">
        <v>243</v>
      </c>
      <c r="J595" t="str">
        <f t="shared" si="9"/>
        <v>altri_datiWIZ_U32WG_VS_SIT_GEO_250Karenarie, argille, marne</v>
      </c>
      <c r="K595">
        <f>_xlfn.XLOOKUP(Tabella1[[#This Row],[Concatenato]],'Original data'!D:D,'Original data'!E:E)</f>
        <v>2</v>
      </c>
      <c r="L595" t="s">
        <v>630</v>
      </c>
    </row>
    <row r="596" spans="2:12" x14ac:dyDescent="0.3">
      <c r="B596" s="5" t="s">
        <v>593</v>
      </c>
      <c r="C596" t="s">
        <v>248</v>
      </c>
      <c r="D596" t="s">
        <v>589</v>
      </c>
      <c r="E596" t="str">
        <f>IF(Tabella1[[#This Row],[Data type]]= "GEOMORPHOLOGICAL DATA", "G", "N")</f>
        <v>N</v>
      </c>
      <c r="G596" t="s">
        <v>244</v>
      </c>
      <c r="J596" t="str">
        <f t="shared" si="9"/>
        <v>altri_datiWIZ_U32WG_VS_SIT_GEO_250Kcalcari, calcari marnosi, marne, argille</v>
      </c>
      <c r="K596">
        <f>_xlfn.XLOOKUP(Tabella1[[#This Row],[Concatenato]],'Original data'!D:D,'Original data'!E:E)</f>
        <v>2</v>
      </c>
      <c r="L596" t="s">
        <v>630</v>
      </c>
    </row>
    <row r="597" spans="2:12" x14ac:dyDescent="0.3">
      <c r="B597" s="5" t="s">
        <v>593</v>
      </c>
      <c r="C597" t="s">
        <v>248</v>
      </c>
      <c r="D597" t="s">
        <v>589</v>
      </c>
      <c r="E597" t="str">
        <f>IF(Tabella1[[#This Row],[Data type]]= "GEOMORPHOLOGICAL DATA", "G", "N")</f>
        <v>N</v>
      </c>
      <c r="G597" t="s">
        <v>232</v>
      </c>
      <c r="J597" t="str">
        <f t="shared" si="9"/>
        <v>altri_datiWIZ_U32WG_VS_SIT_GEO_250Kconglomerati, arenarie,marne</v>
      </c>
      <c r="K597">
        <f>_xlfn.XLOOKUP(Tabella1[[#This Row],[Concatenato]],'Original data'!D:D,'Original data'!E:E)</f>
        <v>2</v>
      </c>
      <c r="L597" t="s">
        <v>630</v>
      </c>
    </row>
    <row r="598" spans="2:12" x14ac:dyDescent="0.3">
      <c r="B598" s="5" t="s">
        <v>593</v>
      </c>
      <c r="C598" t="s">
        <v>248</v>
      </c>
      <c r="D598" t="s">
        <v>589</v>
      </c>
      <c r="E598" t="str">
        <f>IF(Tabella1[[#This Row],[Data type]]= "GEOMORPHOLOGICAL DATA", "G", "N")</f>
        <v>N</v>
      </c>
      <c r="G598" t="s">
        <v>231</v>
      </c>
      <c r="J598" t="str">
        <f t="shared" si="9"/>
        <v>altri_datiWIZ_U32WG_VS_SIT_GEO_250Kconglomerati, sabbie e argille</v>
      </c>
      <c r="K598">
        <f>_xlfn.XLOOKUP(Tabella1[[#This Row],[Concatenato]],'Original data'!D:D,'Original data'!E:E)</f>
        <v>2</v>
      </c>
      <c r="L598" t="s">
        <v>630</v>
      </c>
    </row>
    <row r="599" spans="2:12" x14ac:dyDescent="0.3">
      <c r="B599" t="s">
        <v>592</v>
      </c>
      <c r="C599" t="s">
        <v>443</v>
      </c>
      <c r="D599" t="s">
        <v>586</v>
      </c>
      <c r="E599" t="str">
        <f>IF(Tabella1[[#This Row],[Data type]]= "GEOMORPHOLOGICAL DATA", "G", "N")</f>
        <v>G</v>
      </c>
      <c r="F599" t="s">
        <v>634</v>
      </c>
      <c r="G599" t="s">
        <v>412</v>
      </c>
      <c r="J599" t="str">
        <f t="shared" si="9"/>
        <v>Opere_Difesa_SuoloODS_TOT_puntivallo/rilevato caduta massi</v>
      </c>
      <c r="K599">
        <f>_xlfn.XLOOKUP(Tabella1[[#This Row],[Concatenato]],'Original data'!D:D,'Original data'!E:E)</f>
        <v>3</v>
      </c>
      <c r="L599" t="s">
        <v>615</v>
      </c>
    </row>
    <row r="600" spans="2:12" x14ac:dyDescent="0.3">
      <c r="B600" t="s">
        <v>592</v>
      </c>
      <c r="C600" t="s">
        <v>426</v>
      </c>
      <c r="D600" t="s">
        <v>588</v>
      </c>
      <c r="E600" t="str">
        <f>IF(Tabella1[[#This Row],[Data type]]= "GEOMORPHOLOGICAL DATA", "G", "N")</f>
        <v>N</v>
      </c>
      <c r="G600" t="s">
        <v>385</v>
      </c>
      <c r="J600" t="str">
        <f t="shared" si="9"/>
        <v>Opere_Difesa_SuoloODS_TOT_lineegalleria</v>
      </c>
      <c r="K600">
        <f>_xlfn.XLOOKUP(Tabella1[[#This Row],[Concatenato]],'Original data'!D:D,'Original data'!E:E)</f>
        <v>2</v>
      </c>
      <c r="L600" t="s">
        <v>630</v>
      </c>
    </row>
    <row r="601" spans="2:12" x14ac:dyDescent="0.3">
      <c r="B601" s="5" t="s">
        <v>593</v>
      </c>
      <c r="C601" t="s">
        <v>248</v>
      </c>
      <c r="D601" t="s">
        <v>589</v>
      </c>
      <c r="E601" t="str">
        <f>IF(Tabella1[[#This Row],[Data type]]= "GEOMORPHOLOGICAL DATA", "G", "N")</f>
        <v>N</v>
      </c>
      <c r="G601" t="s">
        <v>237</v>
      </c>
      <c r="J601" t="str">
        <f t="shared" si="9"/>
        <v>altri_datiWIZ_U32WG_VS_SIT_GEO_250Kmarne sabbiose, sabbie, arenarie, conglomerati</v>
      </c>
      <c r="K601">
        <f>_xlfn.XLOOKUP(Tabella1[[#This Row],[Concatenato]],'Original data'!D:D,'Original data'!E:E)</f>
        <v>2</v>
      </c>
      <c r="L601" t="s">
        <v>630</v>
      </c>
    </row>
    <row r="602" spans="2:12" x14ac:dyDescent="0.3">
      <c r="B602" t="s">
        <v>592</v>
      </c>
      <c r="C602" t="s">
        <v>425</v>
      </c>
      <c r="D602" t="s">
        <v>586</v>
      </c>
      <c r="E602" t="str">
        <f>IF(Tabella1[[#This Row],[Data type]]= "GEOMORPHOLOGICAL DATA", "G", "N")</f>
        <v>G</v>
      </c>
      <c r="F602" t="s">
        <v>634</v>
      </c>
      <c r="G602" t="s">
        <v>411</v>
      </c>
      <c r="J602" t="str">
        <f t="shared" si="9"/>
        <v>Opere_Difesa_SuoloODS_TOT_areeiniezione/jet grouting</v>
      </c>
      <c r="K602">
        <f>_xlfn.XLOOKUP(Tabella1[[#This Row],[Concatenato]],'Original data'!D:D,'Original data'!E:E)</f>
        <v>2</v>
      </c>
      <c r="L602" t="s">
        <v>615</v>
      </c>
    </row>
    <row r="603" spans="2:12" x14ac:dyDescent="0.3">
      <c r="B603" t="s">
        <v>592</v>
      </c>
      <c r="C603" t="s">
        <v>426</v>
      </c>
      <c r="D603" t="s">
        <v>586</v>
      </c>
      <c r="E603" t="str">
        <f>IF(Tabella1[[#This Row],[Data type]]= "GEOMORPHOLOGICAL DATA", "G", "N")</f>
        <v>G</v>
      </c>
      <c r="F603" t="s">
        <v>634</v>
      </c>
      <c r="G603" t="s">
        <v>369</v>
      </c>
      <c r="J603" t="str">
        <f t="shared" si="9"/>
        <v>Opere_Difesa_SuoloODS_TOT_lineeombrello da neve</v>
      </c>
      <c r="K603">
        <f>_xlfn.XLOOKUP(Tabella1[[#This Row],[Concatenato]],'Original data'!D:D,'Original data'!E:E)</f>
        <v>2</v>
      </c>
      <c r="L603" t="s">
        <v>615</v>
      </c>
    </row>
    <row r="604" spans="2:12" x14ac:dyDescent="0.3">
      <c r="B604" s="5" t="s">
        <v>591</v>
      </c>
      <c r="C604" t="s">
        <v>92</v>
      </c>
      <c r="D604" t="s">
        <v>586</v>
      </c>
      <c r="E604" t="str">
        <f>IF(Tabella1[[#This Row],[Data type]]= "GEOMORPHOLOGICAL DATA", "G", "N")</f>
        <v>G</v>
      </c>
      <c r="F604" t="s">
        <v>636</v>
      </c>
      <c r="G604" t="s">
        <v>99</v>
      </c>
      <c r="J604" t="str">
        <f t="shared" si="9"/>
        <v>basi_ambientali_pianuraWIZ_U32WG_VS_SIT_BASI_ELELINorlo di scarpata di degradazione o di frana - quiescente</v>
      </c>
      <c r="K604">
        <f>_xlfn.XLOOKUP(Tabella1[[#This Row],[Concatenato]],'Original data'!D:D,'Original data'!E:E)</f>
        <v>2</v>
      </c>
      <c r="L604" t="s">
        <v>615</v>
      </c>
    </row>
    <row r="605" spans="2:12" x14ac:dyDescent="0.3">
      <c r="B605" t="s">
        <v>592</v>
      </c>
      <c r="C605" t="s">
        <v>425</v>
      </c>
      <c r="D605" t="s">
        <v>588</v>
      </c>
      <c r="E605" t="str">
        <f>IF(Tabella1[[#This Row],[Data type]]= "GEOMORPHOLOGICAL DATA", "G", "N")</f>
        <v>N</v>
      </c>
      <c r="G605" t="s">
        <v>401</v>
      </c>
      <c r="J605" t="str">
        <f t="shared" si="9"/>
        <v>Opere_Difesa_SuoloODS_TOT_areepiezometro</v>
      </c>
      <c r="K605">
        <f>_xlfn.XLOOKUP(Tabella1[[#This Row],[Concatenato]],'Original data'!D:D,'Original data'!E:E)</f>
        <v>2</v>
      </c>
      <c r="L605" t="s">
        <v>630</v>
      </c>
    </row>
    <row r="606" spans="2:12" x14ac:dyDescent="0.3">
      <c r="B606" t="s">
        <v>592</v>
      </c>
      <c r="C606" t="s">
        <v>446</v>
      </c>
      <c r="D606" t="s">
        <v>588</v>
      </c>
      <c r="E606" t="str">
        <f>IF(Tabella1[[#This Row],[Data type]]= "GEOMORPHOLOGICAL DATA", "G", "N")</f>
        <v>N</v>
      </c>
      <c r="G606" t="s">
        <v>388</v>
      </c>
      <c r="J606" t="str">
        <f t="shared" si="9"/>
        <v>Opere_Difesa_SuoloOPERE_FIUMI_PLponte</v>
      </c>
      <c r="K606">
        <f>_xlfn.XLOOKUP(Tabella1[[#This Row],[Concatenato]],'Original data'!D:D,'Original data'!E:E)</f>
        <v>2</v>
      </c>
      <c r="L606" t="s">
        <v>630</v>
      </c>
    </row>
    <row r="607" spans="2:12" x14ac:dyDescent="0.3">
      <c r="B607" t="s">
        <v>592</v>
      </c>
      <c r="C607" t="s">
        <v>443</v>
      </c>
      <c r="D607" t="s">
        <v>586</v>
      </c>
      <c r="E607" t="str">
        <f>IF(Tabella1[[#This Row],[Data type]]= "GEOMORPHOLOGICAL DATA", "G", "N")</f>
        <v>G</v>
      </c>
      <c r="F607" t="s">
        <v>634</v>
      </c>
      <c r="G607" t="s">
        <v>439</v>
      </c>
      <c r="J607" t="str">
        <f t="shared" si="9"/>
        <v>Opere_Difesa_SuoloODS_TOT_puntiparatia</v>
      </c>
      <c r="K607">
        <f>_xlfn.XLOOKUP(Tabella1[[#This Row],[Concatenato]],'Original data'!D:D,'Original data'!E:E)</f>
        <v>2</v>
      </c>
      <c r="L607" t="s">
        <v>615</v>
      </c>
    </row>
    <row r="608" spans="2:12" x14ac:dyDescent="0.3">
      <c r="B608" t="s">
        <v>592</v>
      </c>
      <c r="C608" t="s">
        <v>425</v>
      </c>
      <c r="D608" t="s">
        <v>586</v>
      </c>
      <c r="E608" t="str">
        <f>IF(Tabella1[[#This Row],[Data type]]= "GEOMORPHOLOGICAL DATA", "G", "N")</f>
        <v>G</v>
      </c>
      <c r="F608" t="s">
        <v>634</v>
      </c>
      <c r="G608" t="s">
        <v>400</v>
      </c>
      <c r="J608" t="str">
        <f t="shared" si="9"/>
        <v>Opere_Difesa_SuoloODS_TOT_areereticolo micropali</v>
      </c>
      <c r="K608">
        <f>_xlfn.XLOOKUP(Tabella1[[#This Row],[Concatenato]],'Original data'!D:D,'Original data'!E:E)</f>
        <v>2</v>
      </c>
      <c r="L608" t="s">
        <v>615</v>
      </c>
    </row>
    <row r="609" spans="2:12" x14ac:dyDescent="0.3">
      <c r="B609" t="s">
        <v>592</v>
      </c>
      <c r="C609" t="s">
        <v>425</v>
      </c>
      <c r="D609" t="s">
        <v>588</v>
      </c>
      <c r="E609" t="str">
        <f>IF(Tabella1[[#This Row],[Data type]]= "GEOMORPHOLOGICAL DATA", "G", "N")</f>
        <v>N</v>
      </c>
      <c r="G609" t="s">
        <v>416</v>
      </c>
      <c r="J609" t="str">
        <f t="shared" si="9"/>
        <v>Opere_Difesa_SuoloODS_TOT_areespritz beton</v>
      </c>
      <c r="K609">
        <f>_xlfn.XLOOKUP(Tabella1[[#This Row],[Concatenato]],'Original data'!D:D,'Original data'!E:E)</f>
        <v>2</v>
      </c>
      <c r="L609" t="s">
        <v>630</v>
      </c>
    </row>
    <row r="610" spans="2:12" x14ac:dyDescent="0.3">
      <c r="B610" t="s">
        <v>592</v>
      </c>
      <c r="C610" t="s">
        <v>443</v>
      </c>
      <c r="D610" t="s">
        <v>586</v>
      </c>
      <c r="E610" t="str">
        <f>IF(Tabella1[[#This Row],[Data type]]= "GEOMORPHOLOGICAL DATA", "G", "N")</f>
        <v>G</v>
      </c>
      <c r="F610" t="s">
        <v>634</v>
      </c>
      <c r="G610" t="s">
        <v>351</v>
      </c>
      <c r="J610" t="str">
        <f t="shared" si="9"/>
        <v>Opere_Difesa_SuoloODS_TOT_puntirilevato paramassi</v>
      </c>
      <c r="K610">
        <f>_xlfn.XLOOKUP(Tabella1[[#This Row],[Concatenato]],'Original data'!D:D,'Original data'!E:E)</f>
        <v>2</v>
      </c>
      <c r="L610" t="s">
        <v>615</v>
      </c>
    </row>
    <row r="611" spans="2:12" x14ac:dyDescent="0.3">
      <c r="B611" t="s">
        <v>592</v>
      </c>
      <c r="C611" t="s">
        <v>426</v>
      </c>
      <c r="D611" t="s">
        <v>586</v>
      </c>
      <c r="E611" t="str">
        <f>IF(Tabella1[[#This Row],[Data type]]= "GEOMORPHOLOGICAL DATA", "G", "N")</f>
        <v>G</v>
      </c>
      <c r="F611" t="s">
        <v>634</v>
      </c>
      <c r="G611" t="s">
        <v>338</v>
      </c>
      <c r="J611" t="str">
        <f t="shared" si="9"/>
        <v>Opere_Difesa_SuoloODS_TOT_lineeterrazzamento/gradonatura</v>
      </c>
      <c r="K611">
        <f>_xlfn.XLOOKUP(Tabella1[[#This Row],[Concatenato]],'Original data'!D:D,'Original data'!E:E)</f>
        <v>2</v>
      </c>
      <c r="L611" t="s">
        <v>615</v>
      </c>
    </row>
    <row r="612" spans="2:12" x14ac:dyDescent="0.3">
      <c r="B612" t="s">
        <v>592</v>
      </c>
      <c r="C612" t="s">
        <v>425</v>
      </c>
      <c r="D612" t="s">
        <v>586</v>
      </c>
      <c r="E612" t="str">
        <f>IF(Tabella1[[#This Row],[Data type]]= "GEOMORPHOLOGICAL DATA", "G", "N")</f>
        <v>G</v>
      </c>
      <c r="F612" t="s">
        <v>634</v>
      </c>
      <c r="G612" t="s">
        <v>420</v>
      </c>
      <c r="J612" t="str">
        <f t="shared" si="9"/>
        <v>Opere_Difesa_SuoloODS_TOT_areetrincea paramassi</v>
      </c>
      <c r="K612">
        <f>_xlfn.XLOOKUP(Tabella1[[#This Row],[Concatenato]],'Original data'!D:D,'Original data'!E:E)</f>
        <v>2</v>
      </c>
      <c r="L612" t="s">
        <v>615</v>
      </c>
    </row>
    <row r="613" spans="2:12" x14ac:dyDescent="0.3">
      <c r="B613" t="s">
        <v>592</v>
      </c>
      <c r="C613" t="s">
        <v>426</v>
      </c>
      <c r="D613" t="s">
        <v>588</v>
      </c>
      <c r="E613" t="str">
        <f>IF(Tabella1[[#This Row],[Data type]]= "GEOMORPHOLOGICAL DATA", "G", "N")</f>
        <v>N</v>
      </c>
      <c r="G613" t="s">
        <v>389</v>
      </c>
      <c r="J613" t="str">
        <f t="shared" si="9"/>
        <v>Opere_Difesa_SuoloODS_TOT_lineeancoraggio/tiranti</v>
      </c>
      <c r="K613">
        <f>_xlfn.XLOOKUP(Tabella1[[#This Row],[Concatenato]],'Original data'!D:D,'Original data'!E:E)</f>
        <v>1</v>
      </c>
      <c r="L613" t="s">
        <v>630</v>
      </c>
    </row>
    <row r="614" spans="2:12" x14ac:dyDescent="0.3">
      <c r="B614" s="5" t="s">
        <v>593</v>
      </c>
      <c r="C614" t="s">
        <v>248</v>
      </c>
      <c r="D614" t="s">
        <v>589</v>
      </c>
      <c r="E614" t="str">
        <f>IF(Tabella1[[#This Row],[Data type]]= "GEOMORPHOLOGICAL DATA", "G", "N")</f>
        <v>N</v>
      </c>
      <c r="G614" t="s">
        <v>247</v>
      </c>
      <c r="J614" t="str">
        <f t="shared" si="9"/>
        <v>altri_datiWIZ_U32WG_VS_SIT_GEO_250Kcalcari, dolomie, argille</v>
      </c>
      <c r="K614">
        <f>_xlfn.XLOOKUP(Tabella1[[#This Row],[Concatenato]],'Original data'!D:D,'Original data'!E:E)</f>
        <v>1</v>
      </c>
      <c r="L614" t="s">
        <v>630</v>
      </c>
    </row>
    <row r="615" spans="2:12" x14ac:dyDescent="0.3">
      <c r="B615" t="s">
        <v>592</v>
      </c>
      <c r="C615" t="s">
        <v>443</v>
      </c>
      <c r="D615" t="s">
        <v>586</v>
      </c>
      <c r="E615" t="str">
        <f>IF(Tabella1[[#This Row],[Data type]]= "GEOMORPHOLOGICAL DATA", "G", "N")</f>
        <v>G</v>
      </c>
      <c r="F615" t="s">
        <v>634</v>
      </c>
      <c r="G615" t="s">
        <v>390</v>
      </c>
      <c r="J615" t="str">
        <f t="shared" si="9"/>
        <v>Opere_Difesa_SuoloODS_TOT_puntibarriera a funi parallele</v>
      </c>
      <c r="K615">
        <f>_xlfn.XLOOKUP(Tabella1[[#This Row],[Concatenato]],'Original data'!D:D,'Original data'!E:E)</f>
        <v>1</v>
      </c>
      <c r="L615" t="s">
        <v>615</v>
      </c>
    </row>
    <row r="616" spans="2:12" x14ac:dyDescent="0.3">
      <c r="B616" t="s">
        <v>592</v>
      </c>
      <c r="C616" t="s">
        <v>425</v>
      </c>
      <c r="D616" t="s">
        <v>586</v>
      </c>
      <c r="E616" t="str">
        <f>IF(Tabella1[[#This Row],[Data type]]= "GEOMORPHOLOGICAL DATA", "G", "N")</f>
        <v>G</v>
      </c>
      <c r="F616" t="s">
        <v>634</v>
      </c>
      <c r="G616" t="s">
        <v>397</v>
      </c>
      <c r="J616" t="str">
        <f t="shared" si="9"/>
        <v>Opere_Difesa_SuoloODS_TOT_areecuneo filtrante</v>
      </c>
      <c r="K616">
        <f>_xlfn.XLOOKUP(Tabella1[[#This Row],[Concatenato]],'Original data'!D:D,'Original data'!E:E)</f>
        <v>1</v>
      </c>
      <c r="L616" t="s">
        <v>615</v>
      </c>
    </row>
    <row r="617" spans="2:12" x14ac:dyDescent="0.3">
      <c r="B617" t="s">
        <v>592</v>
      </c>
      <c r="C617" t="s">
        <v>425</v>
      </c>
      <c r="D617" t="s">
        <v>588</v>
      </c>
      <c r="E617" t="str">
        <f>IF(Tabella1[[#This Row],[Data type]]= "GEOMORPHOLOGICAL DATA", "G", "N")</f>
        <v>N</v>
      </c>
      <c r="G617" t="s">
        <v>385</v>
      </c>
      <c r="J617" t="str">
        <f t="shared" si="9"/>
        <v>Opere_Difesa_SuoloODS_TOT_areegalleria</v>
      </c>
      <c r="K617">
        <f>_xlfn.XLOOKUP(Tabella1[[#This Row],[Concatenato]],'Original data'!D:D,'Original data'!E:E)</f>
        <v>1</v>
      </c>
      <c r="L617" t="s">
        <v>630</v>
      </c>
    </row>
    <row r="618" spans="2:12" x14ac:dyDescent="0.3">
      <c r="B618" t="s">
        <v>592</v>
      </c>
      <c r="C618" t="s">
        <v>443</v>
      </c>
      <c r="D618" t="s">
        <v>588</v>
      </c>
      <c r="E618" t="str">
        <f>IF(Tabella1[[#This Row],[Data type]]= "GEOMORPHOLOGICAL DATA", "G", "N")</f>
        <v>N</v>
      </c>
      <c r="G618" t="s">
        <v>385</v>
      </c>
      <c r="J618" t="str">
        <f t="shared" si="9"/>
        <v>Opere_Difesa_SuoloODS_TOT_puntigalleria</v>
      </c>
      <c r="K618">
        <f>_xlfn.XLOOKUP(Tabella1[[#This Row],[Concatenato]],'Original data'!D:D,'Original data'!E:E)</f>
        <v>1</v>
      </c>
      <c r="L618" t="s">
        <v>630</v>
      </c>
    </row>
    <row r="619" spans="2:12" x14ac:dyDescent="0.3">
      <c r="B619" t="s">
        <v>592</v>
      </c>
      <c r="C619" t="s">
        <v>443</v>
      </c>
      <c r="D619" t="s">
        <v>586</v>
      </c>
      <c r="E619" t="str">
        <f>IF(Tabella1[[#This Row],[Data type]]= "GEOMORPHOLOGICAL DATA", "G", "N")</f>
        <v>G</v>
      </c>
      <c r="F619" t="s">
        <v>634</v>
      </c>
      <c r="G619" t="s">
        <v>428</v>
      </c>
      <c r="J619" t="str">
        <f t="shared" si="9"/>
        <v>Opere_Difesa_SuoloODS_TOT_puntigalleria drenante</v>
      </c>
      <c r="K619">
        <f>_xlfn.XLOOKUP(Tabella1[[#This Row],[Concatenato]],'Original data'!D:D,'Original data'!E:E)</f>
        <v>1</v>
      </c>
      <c r="L619" t="s">
        <v>615</v>
      </c>
    </row>
    <row r="620" spans="2:12" x14ac:dyDescent="0.3">
      <c r="B620" t="s">
        <v>592</v>
      </c>
      <c r="C620" t="s">
        <v>425</v>
      </c>
      <c r="D620" t="s">
        <v>588</v>
      </c>
      <c r="E620" t="str">
        <f>IF(Tabella1[[#This Row],[Data type]]= "GEOMORPHOLOGICAL DATA", "G", "N")</f>
        <v>N</v>
      </c>
      <c r="G620" t="s">
        <v>354</v>
      </c>
      <c r="J620" t="str">
        <f t="shared" si="9"/>
        <v>Opere_Difesa_SuoloODS_TOT_areeimbracatura</v>
      </c>
      <c r="K620">
        <f>_xlfn.XLOOKUP(Tabella1[[#This Row],[Concatenato]],'Original data'!D:D,'Original data'!E:E)</f>
        <v>1</v>
      </c>
      <c r="L620" t="s">
        <v>630</v>
      </c>
    </row>
    <row r="621" spans="2:12" x14ac:dyDescent="0.3">
      <c r="B621" t="s">
        <v>592</v>
      </c>
      <c r="C621" t="s">
        <v>425</v>
      </c>
      <c r="D621" t="s">
        <v>588</v>
      </c>
      <c r="E621" t="str">
        <f>IF(Tabella1[[#This Row],[Data type]]= "GEOMORPHOLOGICAL DATA", "G", "N")</f>
        <v>N</v>
      </c>
      <c r="G621" t="s">
        <v>424</v>
      </c>
      <c r="J621" t="str">
        <f t="shared" si="9"/>
        <v>Opere_Difesa_SuoloODS_TOT_areeindagine elettrica</v>
      </c>
      <c r="K621">
        <f>_xlfn.XLOOKUP(Tabella1[[#This Row],[Concatenato]],'Original data'!D:D,'Original data'!E:E)</f>
        <v>1</v>
      </c>
      <c r="L621" t="s">
        <v>630</v>
      </c>
    </row>
    <row r="622" spans="2:12" x14ac:dyDescent="0.3">
      <c r="B622" t="s">
        <v>592</v>
      </c>
      <c r="C622" t="s">
        <v>443</v>
      </c>
      <c r="D622" t="s">
        <v>586</v>
      </c>
      <c r="E622" t="str">
        <f>IF(Tabella1[[#This Row],[Data type]]= "GEOMORPHOLOGICAL DATA", "G", "N")</f>
        <v>G</v>
      </c>
      <c r="F622" t="s">
        <v>634</v>
      </c>
      <c r="G622" t="s">
        <v>407</v>
      </c>
      <c r="J622" t="str">
        <f t="shared" si="9"/>
        <v>Opere_Difesa_SuoloODS_TOT_puntigalleria paramassi</v>
      </c>
      <c r="K622">
        <f>_xlfn.XLOOKUP(Tabella1[[#This Row],[Concatenato]],'Original data'!D:D,'Original data'!E:E)</f>
        <v>1</v>
      </c>
      <c r="L622" t="s">
        <v>615</v>
      </c>
    </row>
    <row r="623" spans="2:12" x14ac:dyDescent="0.3">
      <c r="B623" t="s">
        <v>592</v>
      </c>
      <c r="C623" t="s">
        <v>426</v>
      </c>
      <c r="D623" t="s">
        <v>586</v>
      </c>
      <c r="E623" t="str">
        <f>IF(Tabella1[[#This Row],[Data type]]= "GEOMORPHOLOGICAL DATA", "G", "N")</f>
        <v>G</v>
      </c>
      <c r="F623" t="s">
        <v>634</v>
      </c>
      <c r="G623" t="s">
        <v>411</v>
      </c>
      <c r="J623" t="str">
        <f t="shared" si="9"/>
        <v>Opere_Difesa_SuoloODS_TOT_lineeiniezione/jet grouting</v>
      </c>
      <c r="K623">
        <f>_xlfn.XLOOKUP(Tabella1[[#This Row],[Concatenato]],'Original data'!D:D,'Original data'!E:E)</f>
        <v>1</v>
      </c>
      <c r="L623" t="s">
        <v>615</v>
      </c>
    </row>
    <row r="624" spans="2:12" x14ac:dyDescent="0.3">
      <c r="B624" t="s">
        <v>592</v>
      </c>
      <c r="C624" t="s">
        <v>425</v>
      </c>
      <c r="D624" t="s">
        <v>586</v>
      </c>
      <c r="E624" t="str">
        <f>IF(Tabella1[[#This Row],[Data type]]= "GEOMORPHOLOGICAL DATA", "G", "N")</f>
        <v>G</v>
      </c>
      <c r="F624" t="s">
        <v>634</v>
      </c>
      <c r="G624" t="s">
        <v>421</v>
      </c>
      <c r="J624" t="str">
        <f t="shared" si="9"/>
        <v>Opere_Difesa_SuoloODS_TOT_areemuro a secco</v>
      </c>
      <c r="K624">
        <f>_xlfn.XLOOKUP(Tabella1[[#This Row],[Concatenato]],'Original data'!D:D,'Original data'!E:E)</f>
        <v>1</v>
      </c>
      <c r="L624" t="s">
        <v>615</v>
      </c>
    </row>
    <row r="625" spans="2:12" x14ac:dyDescent="0.3">
      <c r="B625" s="5" t="s">
        <v>593</v>
      </c>
      <c r="C625" t="s">
        <v>248</v>
      </c>
      <c r="D625" t="s">
        <v>589</v>
      </c>
      <c r="E625" t="str">
        <f>IF(Tabella1[[#This Row],[Data type]]= "GEOMORPHOLOGICAL DATA", "G", "N")</f>
        <v>N</v>
      </c>
      <c r="G625" t="s">
        <v>168</v>
      </c>
      <c r="J625" t="str">
        <f t="shared" si="9"/>
        <v>altri_datiWIZ_U32WG_VS_SIT_GEO_250Koficarbonati</v>
      </c>
      <c r="K625">
        <f>_xlfn.XLOOKUP(Tabella1[[#This Row],[Concatenato]],'Original data'!D:D,'Original data'!E:E)</f>
        <v>1</v>
      </c>
      <c r="L625" t="s">
        <v>630</v>
      </c>
    </row>
    <row r="626" spans="2:12" x14ac:dyDescent="0.3">
      <c r="B626" t="s">
        <v>592</v>
      </c>
      <c r="C626" t="s">
        <v>425</v>
      </c>
      <c r="D626" t="s">
        <v>586</v>
      </c>
      <c r="E626" t="str">
        <f>IF(Tabella1[[#This Row],[Data type]]= "GEOMORPHOLOGICAL DATA", "G", "N")</f>
        <v>G</v>
      </c>
      <c r="F626" t="s">
        <v>634</v>
      </c>
      <c r="G626" t="s">
        <v>414</v>
      </c>
      <c r="J626" t="str">
        <f t="shared" si="9"/>
        <v>Opere_Difesa_SuoloODS_TOT_areemuro cellulare</v>
      </c>
      <c r="K626">
        <f>_xlfn.XLOOKUP(Tabella1[[#This Row],[Concatenato]],'Original data'!D:D,'Original data'!E:E)</f>
        <v>1</v>
      </c>
      <c r="L626" t="s">
        <v>615</v>
      </c>
    </row>
    <row r="627" spans="2:12" x14ac:dyDescent="0.3">
      <c r="B627" t="s">
        <v>592</v>
      </c>
      <c r="C627" t="s">
        <v>425</v>
      </c>
      <c r="D627" t="s">
        <v>586</v>
      </c>
      <c r="E627" t="str">
        <f>IF(Tabella1[[#This Row],[Data type]]= "GEOMORPHOLOGICAL DATA", "G", "N")</f>
        <v>G</v>
      </c>
      <c r="F627" t="s">
        <v>634</v>
      </c>
      <c r="G627" t="s">
        <v>369</v>
      </c>
      <c r="J627" t="str">
        <f t="shared" si="9"/>
        <v>Opere_Difesa_SuoloODS_TOT_areeombrello da neve</v>
      </c>
      <c r="K627">
        <f>_xlfn.XLOOKUP(Tabella1[[#This Row],[Concatenato]],'Original data'!D:D,'Original data'!E:E)</f>
        <v>1</v>
      </c>
      <c r="L627" t="s">
        <v>615</v>
      </c>
    </row>
    <row r="628" spans="2:12" x14ac:dyDescent="0.3">
      <c r="B628" t="s">
        <v>592</v>
      </c>
      <c r="C628" t="s">
        <v>425</v>
      </c>
      <c r="D628" t="s">
        <v>586</v>
      </c>
      <c r="E628" t="str">
        <f>IF(Tabella1[[#This Row],[Data type]]= "GEOMORPHOLOGICAL DATA", "G", "N")</f>
        <v>G</v>
      </c>
      <c r="F628" t="s">
        <v>634</v>
      </c>
      <c r="G628" t="s">
        <v>415</v>
      </c>
      <c r="J628" t="str">
        <f t="shared" si="9"/>
        <v>Opere_Difesa_SuoloODS_TOT_areeopera di presa/restituzione</v>
      </c>
      <c r="K628">
        <f>_xlfn.XLOOKUP(Tabella1[[#This Row],[Concatenato]],'Original data'!D:D,'Original data'!E:E)</f>
        <v>1</v>
      </c>
      <c r="L628" t="s">
        <v>615</v>
      </c>
    </row>
    <row r="629" spans="2:12" x14ac:dyDescent="0.3">
      <c r="B629" t="s">
        <v>592</v>
      </c>
      <c r="C629" t="s">
        <v>425</v>
      </c>
      <c r="D629" t="s">
        <v>586</v>
      </c>
      <c r="E629" t="str">
        <f>IF(Tabella1[[#This Row],[Data type]]= "GEOMORPHOLOGICAL DATA", "G", "N")</f>
        <v>G</v>
      </c>
      <c r="F629" t="s">
        <v>634</v>
      </c>
      <c r="G629" t="s">
        <v>418</v>
      </c>
      <c r="J629" t="str">
        <f t="shared" si="9"/>
        <v>Opere_Difesa_SuoloODS_TOT_areepozzo drenante</v>
      </c>
      <c r="K629">
        <f>_xlfn.XLOOKUP(Tabella1[[#This Row],[Concatenato]],'Original data'!D:D,'Original data'!E:E)</f>
        <v>1</v>
      </c>
      <c r="L629" t="s">
        <v>615</v>
      </c>
    </row>
    <row r="630" spans="2:12" x14ac:dyDescent="0.3">
      <c r="B630" t="s">
        <v>592</v>
      </c>
      <c r="C630" t="s">
        <v>443</v>
      </c>
      <c r="D630" t="s">
        <v>586</v>
      </c>
      <c r="E630" t="str">
        <f>IF(Tabella1[[#This Row],[Data type]]= "GEOMORPHOLOGICAL DATA", "G", "N")</f>
        <v>G</v>
      </c>
      <c r="F630" t="s">
        <v>634</v>
      </c>
      <c r="G630" t="s">
        <v>406</v>
      </c>
      <c r="J630" t="str">
        <f t="shared" si="9"/>
        <v>Opere_Difesa_SuoloODS_TOT_puntirastrelliera</v>
      </c>
      <c r="K630">
        <f>_xlfn.XLOOKUP(Tabella1[[#This Row],[Concatenato]],'Original data'!D:D,'Original data'!E:E)</f>
        <v>1</v>
      </c>
      <c r="L630" t="s">
        <v>615</v>
      </c>
    </row>
    <row r="631" spans="2:12" x14ac:dyDescent="0.3">
      <c r="B631" t="s">
        <v>592</v>
      </c>
      <c r="C631" t="s">
        <v>443</v>
      </c>
      <c r="D631" t="s">
        <v>586</v>
      </c>
      <c r="E631" t="str">
        <f>IF(Tabella1[[#This Row],[Data type]]= "GEOMORPHOLOGICAL DATA", "G", "N")</f>
        <v>G</v>
      </c>
      <c r="F631" t="s">
        <v>634</v>
      </c>
      <c r="G631" t="s">
        <v>376</v>
      </c>
      <c r="J631" t="str">
        <f t="shared" si="9"/>
        <v>Opere_Difesa_SuoloODS_TOT_puntirilevato/vallo paramassi</v>
      </c>
      <c r="K631">
        <f>_xlfn.XLOOKUP(Tabella1[[#This Row],[Concatenato]],'Original data'!D:D,'Original data'!E:E)</f>
        <v>1</v>
      </c>
      <c r="L631" t="s">
        <v>615</v>
      </c>
    </row>
    <row r="632" spans="2:12" x14ac:dyDescent="0.3">
      <c r="B632" t="s">
        <v>592</v>
      </c>
      <c r="C632" t="s">
        <v>425</v>
      </c>
      <c r="D632" t="s">
        <v>586</v>
      </c>
      <c r="E632" t="str">
        <f>IF(Tabella1[[#This Row],[Data type]]= "GEOMORPHOLOGICAL DATA", "G", "N")</f>
        <v>G</v>
      </c>
      <c r="F632" t="s">
        <v>634</v>
      </c>
      <c r="G632" t="s">
        <v>403</v>
      </c>
      <c r="J632" t="str">
        <f t="shared" si="9"/>
        <v>Opere_Difesa_SuoloODS_TOT_areesperoni drenanti</v>
      </c>
      <c r="K632">
        <f>_xlfn.XLOOKUP(Tabella1[[#This Row],[Concatenato]],'Original data'!D:D,'Original data'!E:E)</f>
        <v>1</v>
      </c>
      <c r="L632" t="s">
        <v>615</v>
      </c>
    </row>
    <row r="633" spans="2:12" x14ac:dyDescent="0.3">
      <c r="B633" t="s">
        <v>592</v>
      </c>
      <c r="C633" t="s">
        <v>425</v>
      </c>
      <c r="D633" t="s">
        <v>588</v>
      </c>
      <c r="E633" t="str">
        <f>IF(Tabella1[[#This Row],[Data type]]= "GEOMORPHOLOGICAL DATA", "G", "N")</f>
        <v>N</v>
      </c>
      <c r="G633" t="s">
        <v>423</v>
      </c>
      <c r="J633" t="str">
        <f t="shared" si="9"/>
        <v>Opere_Difesa_SuoloODS_TOT_areetermometro</v>
      </c>
      <c r="K633">
        <f>_xlfn.XLOOKUP(Tabella1[[#This Row],[Concatenato]],'Original data'!D:D,'Original data'!E:E)</f>
        <v>1</v>
      </c>
      <c r="L633" t="s">
        <v>630</v>
      </c>
    </row>
    <row r="634" spans="2:12" x14ac:dyDescent="0.3">
      <c r="B634" t="s">
        <v>592</v>
      </c>
      <c r="C634" t="s">
        <v>425</v>
      </c>
      <c r="D634" t="s">
        <v>586</v>
      </c>
      <c r="E634" t="str">
        <f>IF(Tabella1[[#This Row],[Data type]]= "GEOMORPHOLOGICAL DATA", "G", "N")</f>
        <v>G</v>
      </c>
      <c r="F634" t="s">
        <v>634</v>
      </c>
      <c r="G634" t="s">
        <v>417</v>
      </c>
      <c r="J634" t="str">
        <f t="shared" si="9"/>
        <v>Opere_Difesa_SuoloODS_TOT_areeterrapieno</v>
      </c>
      <c r="K634">
        <f>_xlfn.XLOOKUP(Tabella1[[#This Row],[Concatenato]],'Original data'!D:D,'Original data'!E:E)</f>
        <v>1</v>
      </c>
      <c r="L634" t="s">
        <v>615</v>
      </c>
    </row>
    <row r="635" spans="2:12" x14ac:dyDescent="0.3">
      <c r="B635" t="s">
        <v>592</v>
      </c>
      <c r="C635" t="s">
        <v>443</v>
      </c>
      <c r="D635" t="s">
        <v>586</v>
      </c>
      <c r="E635" t="str">
        <f>IF(Tabella1[[#This Row],[Data type]]= "GEOMORPHOLOGICAL DATA", "G", "N")</f>
        <v>G</v>
      </c>
      <c r="F635" t="s">
        <v>634</v>
      </c>
      <c r="G635" t="s">
        <v>338</v>
      </c>
      <c r="J635" t="str">
        <f t="shared" si="9"/>
        <v>Opere_Difesa_SuoloODS_TOT_puntiterrazzamento/gradonatura</v>
      </c>
      <c r="K635">
        <f>_xlfn.XLOOKUP(Tabella1[[#This Row],[Concatenato]],'Original data'!D:D,'Original data'!E:E)</f>
        <v>1</v>
      </c>
      <c r="L635" t="s">
        <v>615</v>
      </c>
    </row>
    <row r="636" spans="2:12" x14ac:dyDescent="0.3">
      <c r="B636" t="s">
        <v>592</v>
      </c>
      <c r="C636" t="s">
        <v>425</v>
      </c>
      <c r="D636" t="s">
        <v>586</v>
      </c>
      <c r="E636" t="str">
        <f>IF(Tabella1[[#This Row],[Data type]]= "GEOMORPHOLOGICAL DATA", "G", "N")</f>
        <v>G</v>
      </c>
      <c r="F636" t="s">
        <v>634</v>
      </c>
      <c r="G636" t="s">
        <v>412</v>
      </c>
      <c r="J636" t="str">
        <f t="shared" si="9"/>
        <v>Opere_Difesa_SuoloODS_TOT_areevallo/rilevato caduta massi</v>
      </c>
      <c r="K636">
        <f>_xlfn.XLOOKUP(Tabella1[[#This Row],[Concatenato]],'Original data'!D:D,'Original data'!E:E)</f>
        <v>1</v>
      </c>
      <c r="L636" t="s">
        <v>615</v>
      </c>
    </row>
    <row r="637" spans="2:12" x14ac:dyDescent="0.3">
      <c r="B637" t="s">
        <v>592</v>
      </c>
      <c r="C637" t="s">
        <v>426</v>
      </c>
      <c r="D637" t="s">
        <v>586</v>
      </c>
      <c r="E637" t="str">
        <f>IF(Tabella1[[#This Row],[Data type]]= "GEOMORPHOLOGICAL DATA", "G", "N")</f>
        <v>G</v>
      </c>
      <c r="F637" t="s">
        <v>634</v>
      </c>
      <c r="G637" t="s">
        <v>412</v>
      </c>
      <c r="J637" t="str">
        <f t="shared" si="9"/>
        <v>Opere_Difesa_SuoloODS_TOT_lineevallo/rilevato caduta massi</v>
      </c>
      <c r="K637">
        <f>_xlfn.XLOOKUP(Tabella1[[#This Row],[Concatenato]],'Original data'!D:D,'Original data'!E:E)</f>
        <v>1</v>
      </c>
      <c r="L637" t="s">
        <v>615</v>
      </c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Original data</vt:lpstr>
      <vt:lpstr>Harmonised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Franceschi</dc:creator>
  <cp:lastModifiedBy>Laura Franceschi</cp:lastModifiedBy>
  <dcterms:created xsi:type="dcterms:W3CDTF">2015-06-05T18:19:34Z</dcterms:created>
  <dcterms:modified xsi:type="dcterms:W3CDTF">2026-10-28T12:56:37Z</dcterms:modified>
</cp:coreProperties>
</file>